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 &amp; Logiciels" sheetId="1" state="visible" r:id="rId1"/>
    <sheet xmlns:r="http://schemas.openxmlformats.org/officeDocument/2006/relationships" name="1. Socio-démographie" sheetId="2" state="visible" r:id="rId2"/>
    <sheet xmlns:r="http://schemas.openxmlformats.org/officeDocument/2006/relationships" name="2. PFNL fréquences" sheetId="3" state="visible" r:id="rId3"/>
    <sheet xmlns:r="http://schemas.openxmlformats.org/officeDocument/2006/relationships" name="3. PFNL contribution" sheetId="4" state="visible" r:id="rId4"/>
    <sheet xmlns:r="http://schemas.openxmlformats.org/officeDocument/2006/relationships" name="4. Tests statistiques" sheetId="5" state="visible" r:id="rId5"/>
    <sheet xmlns:r="http://schemas.openxmlformats.org/officeDocument/2006/relationships" name="5. Diversité floristique" sheetId="6" state="visible" r:id="rId6"/>
    <sheet xmlns:r="http://schemas.openxmlformats.org/officeDocument/2006/relationships" name="6. Similarité &amp; structure" sheetId="7" state="visible" r:id="rId7"/>
    <sheet xmlns:r="http://schemas.openxmlformats.org/officeDocument/2006/relationships" name="7. Contraintes &amp; reven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1628"/>
      <sz val="14"/>
    </font>
    <font>
      <i val="1"/>
      <color rgb="0064748B"/>
    </font>
    <font>
      <b val="1"/>
      <color rgb="000A8A75"/>
      <sz val="11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Fréquence de citation des PFNL (%)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'2. PFNL fréquences'!$B$2:$B$12</f>
            </numRef>
          </cat>
          <val>
            <numRef>
              <f>'2. PFNL fréquences'!$E$2:$E$12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Contribution au revenu PFNL total</a:t>
            </a:r>
          </a:p>
        </rich>
      </tx>
    </title>
    <plotArea>
      <pieChart>
        <varyColors val="1"/>
        <ser>
          <idx val="0"/>
          <order val="0"/>
          <tx>
            <strRef>
              <f>'3. PFNL contribution'!M1</f>
            </strRef>
          </tx>
          <spPr>
            <a:ln xmlns:a="http://schemas.openxmlformats.org/drawingml/2006/main">
              <a:prstDash val="solid"/>
            </a:ln>
          </spPr>
          <cat>
            <numRef>
              <f>'3. PFNL contribution'!$L$2:$L$6</f>
            </numRef>
          </cat>
          <val>
            <numRef>
              <f>'3. PFNL contribution'!$M$2:$M$6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Indices de diversité par agroforêt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'5. Diversité floristique'!D1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'5. Diversité floristique'!$A$2:$A$5</f>
            </numRef>
          </cat>
          <val>
            <numRef>
              <f>'5. Diversité floristique'!$D$2:$D$5</f>
            </numRef>
          </val>
        </ser>
        <ser>
          <idx val="1"/>
          <order val="1"/>
          <tx>
            <strRef>
              <f>'5. Diversité floristique'!E1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'5. Diversité floristique'!$A$2:$A$5</f>
            </numRef>
          </cat>
          <val>
            <numRef>
              <f>'5. Diversité floristique'!$E$2:$E$5</f>
            </numRef>
          </val>
        </ser>
        <ser>
          <idx val="2"/>
          <order val="2"/>
          <tx>
            <strRef>
              <f>'5. Diversité floristique'!F1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'5. Diversité floristique'!$A$2:$A$5</f>
            </numRef>
          </cat>
          <val>
            <numRef>
              <f>'5. Diversité floristique'!$F$2:$F$5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par classe de DHP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'6. Similarité &amp; structure'!B10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'6. Similarité &amp; structure'!$A$11:$A$20</f>
            </numRef>
          </cat>
          <val>
            <numRef>
              <f>'6. Similarité &amp; structure'!$B$11:$B$20</f>
            </numRef>
          </val>
        </ser>
        <ser>
          <idx val="1"/>
          <order val="1"/>
          <tx>
            <strRef>
              <f>'6. Similarité &amp; structure'!C10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'6. Similarité &amp; structure'!$A$11:$A$20</f>
            </numRef>
          </cat>
          <val>
            <numRef>
              <f>'6. Similarité &amp; structure'!$C$11:$C$20</f>
            </numRef>
          </val>
        </ser>
        <ser>
          <idx val="2"/>
          <order val="2"/>
          <tx>
            <strRef>
              <f>'6. Similarité &amp; structure'!D10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'6. Similarité &amp; structure'!$A$11:$A$20</f>
            </numRef>
          </cat>
          <val>
            <numRef>
              <f>'6. Similarité &amp; structure'!$D$11:$D$20</f>
            </numRef>
          </val>
        </ser>
        <ser>
          <idx val="3"/>
          <order val="3"/>
          <tx>
            <strRef>
              <f>'6. Similarité &amp; structure'!E10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'6. Similarité &amp; structure'!$A$11:$A$20</f>
            </numRef>
          </cat>
          <val>
            <numRef>
              <f>'6. Similarité &amp; structure'!$E$11:$E$20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19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7" customWidth="1" min="1" max="1"/>
    <col width="44" customWidth="1" min="2" max="2"/>
  </cols>
  <sheetData>
    <row r="1">
      <c r="A1" s="1" t="inlineStr">
        <is>
          <t>Analyses statistiques — Valorisation des PFNL et diversité floristique, Lomié</t>
        </is>
      </c>
    </row>
    <row r="2">
      <c r="A2" t="inlineStr">
        <is>
          <t>Base de données : inventaire floristique (2 379 arbres) + enquêtes socio-économiques (50 ménages)</t>
        </is>
      </c>
    </row>
    <row r="3">
      <c r="A3" s="2" t="inlineStr">
        <is>
          <t>Toutes les valeurs sont recalculées à partir de la base fournie. Aucune donnée inventée.</t>
        </is>
      </c>
    </row>
    <row r="5">
      <c r="A5" s="3" t="inlineStr">
        <is>
          <t>Logiciels et versions utilisés pour les analyses</t>
        </is>
      </c>
    </row>
    <row r="6">
      <c r="A6" s="4" t="inlineStr">
        <is>
          <t>Logiciel / bibliothèque</t>
        </is>
      </c>
      <c r="B6" s="4" t="inlineStr">
        <is>
          <t>Version</t>
        </is>
      </c>
    </row>
    <row r="7">
      <c r="A7" s="5" t="inlineStr">
        <is>
          <t>Python</t>
        </is>
      </c>
      <c r="B7" s="5" t="inlineStr">
        <is>
          <t>3.11.15</t>
        </is>
      </c>
    </row>
    <row r="8">
      <c r="A8" s="6" t="inlineStr">
        <is>
          <t>Platform</t>
        </is>
      </c>
      <c r="B8" s="6" t="inlineStr">
        <is>
          <t>Linux-6.18.5-x86_64-with-glibc2.39</t>
        </is>
      </c>
    </row>
    <row r="9">
      <c r="A9" s="5" t="inlineStr">
        <is>
          <t>pandas</t>
        </is>
      </c>
      <c r="B9" s="5" t="inlineStr">
        <is>
          <t>3.0.3</t>
        </is>
      </c>
    </row>
    <row r="10">
      <c r="A10" s="6" t="inlineStr">
        <is>
          <t>numpy</t>
        </is>
      </c>
      <c r="B10" s="6" t="inlineStr">
        <is>
          <t>2.4.6</t>
        </is>
      </c>
    </row>
    <row r="11">
      <c r="A11" s="5" t="inlineStr">
        <is>
          <t>scipy</t>
        </is>
      </c>
      <c r="B11" s="5" t="inlineStr">
        <is>
          <t>1.17.1</t>
        </is>
      </c>
    </row>
    <row r="12">
      <c r="A12" s="6" t="inlineStr">
        <is>
          <t>openpyxl</t>
        </is>
      </c>
      <c r="B12" s="6" t="inlineStr">
        <is>
          <t>3.1.5</t>
        </is>
      </c>
    </row>
    <row r="13">
      <c r="A13" s="5" t="inlineStr">
        <is>
          <t>matplotlib</t>
        </is>
      </c>
      <c r="B13" s="5" t="inlineStr">
        <is>
          <t>3.11.0</t>
        </is>
      </c>
    </row>
    <row r="14">
      <c r="A14" s="6" t="inlineStr">
        <is>
          <t>python-docx</t>
        </is>
      </c>
      <c r="B14" s="6" t="inlineStr">
        <is>
          <t>1.2.0</t>
        </is>
      </c>
    </row>
    <row r="15">
      <c r="A15" s="5" t="inlineStr">
        <is>
          <t>scikit-posthocs</t>
        </is>
      </c>
      <c r="B15" s="5" t="inlineStr">
        <is>
          <t>0.14.0</t>
        </is>
      </c>
    </row>
    <row r="17">
      <c r="A17" s="3" t="inlineStr">
        <is>
          <t>Méthodes statistiques employées</t>
        </is>
      </c>
    </row>
    <row r="18">
      <c r="A18" s="4" t="inlineStr">
        <is>
          <t>Analyse</t>
        </is>
      </c>
      <c r="B18" s="4" t="inlineStr">
        <is>
          <t>Méthode / détail</t>
        </is>
      </c>
    </row>
    <row r="19">
      <c r="A19" s="5" t="inlineStr">
        <is>
          <t>Statistiques descriptives</t>
        </is>
      </c>
      <c r="B19" s="5" t="inlineStr">
        <is>
          <t>moyenne, médiane, écart-type, min, max, quartiles, coefficient de variation</t>
        </is>
      </c>
    </row>
    <row r="20">
      <c r="A20" s="6" t="inlineStr">
        <is>
          <t>Intervalles de confiance</t>
        </is>
      </c>
      <c r="B20" s="6" t="inlineStr">
        <is>
          <t>Wilson (proportions), Student (moyennes), niveau 95 %</t>
        </is>
      </c>
    </row>
    <row r="21">
      <c r="A21" s="5" t="inlineStr">
        <is>
          <t>Comparaison 2 groupes</t>
        </is>
      </c>
      <c r="B21" s="5" t="inlineStr">
        <is>
          <t>test de Mann-Whitney (non paramétrique)</t>
        </is>
      </c>
    </row>
    <row r="22">
      <c r="A22" s="6" t="inlineStr">
        <is>
          <t>Comparaison &gt; 2 groupes</t>
        </is>
      </c>
      <c r="B22" s="6" t="inlineStr">
        <is>
          <t>test de Kruskal-Wallis + post-hoc de Dunn (Bonferroni)</t>
        </is>
      </c>
    </row>
    <row r="23">
      <c r="A23" s="5" t="inlineStr">
        <is>
          <t>Corrélation</t>
        </is>
      </c>
      <c r="B23" s="5" t="inlineStr">
        <is>
          <t>coefficient des rangs de Spearman</t>
        </is>
      </c>
    </row>
    <row r="24">
      <c r="A24" s="6" t="inlineStr">
        <is>
          <t>Indices de diversité</t>
        </is>
      </c>
      <c r="B24" s="6" t="inlineStr">
        <is>
          <t>Shannon-Wiener (H'), Simpson (1-D), Piélou (J)</t>
        </is>
      </c>
    </row>
    <row r="25">
      <c r="A25" s="5" t="inlineStr">
        <is>
          <t>Similarité</t>
        </is>
      </c>
      <c r="B25" s="5" t="inlineStr">
        <is>
          <t>coefficient de Sørensen</t>
        </is>
      </c>
    </row>
    <row r="26">
      <c r="A26" s="6" t="inlineStr">
        <is>
          <t>Structure</t>
        </is>
      </c>
      <c r="B26" s="6" t="inlineStr">
        <is>
          <t>densité (ind./ha), surface terrière (m²/ha), classes de DHP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3" t="inlineStr">
        <is>
          <t>Sexe</t>
        </is>
      </c>
    </row>
    <row r="2">
      <c r="A2" s="4" t="inlineStr">
        <is>
          <t>Modalité</t>
        </is>
      </c>
      <c r="B2" s="4" t="inlineStr">
        <is>
          <t>Effectif</t>
        </is>
      </c>
      <c r="C2" s="4" t="inlineStr">
        <is>
          <t>%</t>
        </is>
      </c>
    </row>
    <row r="3">
      <c r="A3" s="5" t="inlineStr">
        <is>
          <t>F</t>
        </is>
      </c>
      <c r="B3" s="7" t="n">
        <v>36</v>
      </c>
      <c r="C3" s="7" t="n">
        <v>72</v>
      </c>
    </row>
    <row r="4">
      <c r="A4" s="6" t="inlineStr">
        <is>
          <t>M</t>
        </is>
      </c>
      <c r="B4" s="8" t="n">
        <v>14</v>
      </c>
      <c r="C4" s="8" t="n">
        <v>28</v>
      </c>
    </row>
    <row r="7">
      <c r="A7" s="3" t="inlineStr">
        <is>
          <t>Tranche d'âge</t>
        </is>
      </c>
    </row>
    <row r="8">
      <c r="A8" s="4" t="inlineStr">
        <is>
          <t>Modalité</t>
        </is>
      </c>
      <c r="B8" s="4" t="inlineStr">
        <is>
          <t>Effectif</t>
        </is>
      </c>
      <c r="C8" s="4" t="inlineStr">
        <is>
          <t>%</t>
        </is>
      </c>
    </row>
    <row r="9">
      <c r="A9" s="5" t="inlineStr">
        <is>
          <t>[50;65[</t>
        </is>
      </c>
      <c r="B9" s="7" t="n">
        <v>21</v>
      </c>
      <c r="C9" s="7" t="n">
        <v>42</v>
      </c>
    </row>
    <row r="10">
      <c r="A10" s="6" t="inlineStr">
        <is>
          <t>[35;50[</t>
        </is>
      </c>
      <c r="B10" s="8" t="n">
        <v>18</v>
      </c>
      <c r="C10" s="8" t="n">
        <v>36</v>
      </c>
    </row>
    <row r="11">
      <c r="A11" s="5" t="inlineStr">
        <is>
          <t>[18;35[</t>
        </is>
      </c>
      <c r="B11" s="7" t="n">
        <v>6</v>
      </c>
      <c r="C11" s="7" t="n">
        <v>12</v>
      </c>
    </row>
    <row r="12">
      <c r="A12" s="6" t="inlineStr">
        <is>
          <t>[65;80[</t>
        </is>
      </c>
      <c r="B12" s="8" t="n">
        <v>5</v>
      </c>
      <c r="C12" s="8" t="n">
        <v>10</v>
      </c>
    </row>
    <row r="15">
      <c r="A15" s="3" t="inlineStr">
        <is>
          <t>Groupe ethnique</t>
        </is>
      </c>
    </row>
    <row r="16">
      <c r="A16" s="4" t="inlineStr">
        <is>
          <t>Modalité</t>
        </is>
      </c>
      <c r="B16" s="4" t="inlineStr">
        <is>
          <t>Effectif</t>
        </is>
      </c>
      <c r="C16" s="4" t="inlineStr">
        <is>
          <t>%</t>
        </is>
      </c>
    </row>
    <row r="17">
      <c r="A17" s="5" t="inlineStr">
        <is>
          <t>Zimé</t>
        </is>
      </c>
      <c r="B17" s="7" t="n">
        <v>38</v>
      </c>
      <c r="C17" s="7" t="n">
        <v>76</v>
      </c>
    </row>
    <row r="18">
      <c r="A18" s="6" t="inlineStr">
        <is>
          <t>Baka</t>
        </is>
      </c>
      <c r="B18" s="8" t="n">
        <v>5</v>
      </c>
      <c r="C18" s="8" t="n">
        <v>10</v>
      </c>
    </row>
    <row r="19">
      <c r="A19" s="5" t="inlineStr">
        <is>
          <t>Kako</t>
        </is>
      </c>
      <c r="B19" s="7" t="n">
        <v>2</v>
      </c>
      <c r="C19" s="7" t="n">
        <v>4</v>
      </c>
    </row>
    <row r="20">
      <c r="A20" s="6" t="inlineStr">
        <is>
          <t>Badjoué</t>
        </is>
      </c>
      <c r="B20" s="8" t="n">
        <v>1</v>
      </c>
      <c r="C20" s="8" t="n">
        <v>2</v>
      </c>
    </row>
    <row r="21">
      <c r="A21" s="5" t="inlineStr">
        <is>
          <t>Maka</t>
        </is>
      </c>
      <c r="B21" s="7" t="n">
        <v>1</v>
      </c>
      <c r="C21" s="7" t="n">
        <v>2</v>
      </c>
    </row>
    <row r="22">
      <c r="A22" s="6" t="inlineStr">
        <is>
          <t>Mezimé</t>
        </is>
      </c>
      <c r="B22" s="8" t="n">
        <v>1</v>
      </c>
      <c r="C22" s="8" t="n">
        <v>2</v>
      </c>
    </row>
    <row r="23">
      <c r="A23" s="5" t="inlineStr">
        <is>
          <t>Mambila</t>
        </is>
      </c>
      <c r="B23" s="7" t="n">
        <v>1</v>
      </c>
      <c r="C23" s="7" t="n">
        <v>2</v>
      </c>
    </row>
    <row r="24">
      <c r="A24" s="6" t="inlineStr">
        <is>
          <t>Bekele</t>
        </is>
      </c>
      <c r="B24" s="8" t="n">
        <v>1</v>
      </c>
      <c r="C24" s="8" t="n">
        <v>2</v>
      </c>
    </row>
    <row r="27">
      <c r="A27" s="3" t="inlineStr">
        <is>
          <t>Statut matrimonial</t>
        </is>
      </c>
    </row>
    <row r="28">
      <c r="A28" s="4" t="inlineStr">
        <is>
          <t>Modalité</t>
        </is>
      </c>
      <c r="B28" s="4" t="inlineStr">
        <is>
          <t>Effectif</t>
        </is>
      </c>
      <c r="C28" s="4" t="inlineStr">
        <is>
          <t>%</t>
        </is>
      </c>
    </row>
    <row r="29">
      <c r="A29" s="5" t="inlineStr">
        <is>
          <t>Marié</t>
        </is>
      </c>
      <c r="B29" s="7" t="n">
        <v>29</v>
      </c>
      <c r="C29" s="7" t="n">
        <v>58</v>
      </c>
    </row>
    <row r="30">
      <c r="A30" s="6" t="inlineStr">
        <is>
          <t>Veuve</t>
        </is>
      </c>
      <c r="B30" s="8" t="n">
        <v>9</v>
      </c>
      <c r="C30" s="8" t="n">
        <v>18</v>
      </c>
    </row>
    <row r="31">
      <c r="A31" s="5" t="inlineStr">
        <is>
          <t>Célibataire</t>
        </is>
      </c>
      <c r="B31" s="7" t="n">
        <v>8</v>
      </c>
      <c r="C31" s="7" t="n">
        <v>16</v>
      </c>
    </row>
    <row r="32">
      <c r="A32" s="6" t="inlineStr">
        <is>
          <t>Divorcé</t>
        </is>
      </c>
      <c r="B32" s="8" t="n">
        <v>4</v>
      </c>
      <c r="C32" s="8" t="n">
        <v>8</v>
      </c>
    </row>
    <row r="35">
      <c r="A35" s="3" t="inlineStr">
        <is>
          <t>Niveau d'instruction</t>
        </is>
      </c>
    </row>
    <row r="36">
      <c r="A36" s="4" t="inlineStr">
        <is>
          <t>Modalité</t>
        </is>
      </c>
      <c r="B36" s="4" t="inlineStr">
        <is>
          <t>Effectif</t>
        </is>
      </c>
      <c r="C36" s="4" t="inlineStr">
        <is>
          <t>%</t>
        </is>
      </c>
    </row>
    <row r="37">
      <c r="A37" s="5" t="inlineStr">
        <is>
          <t>Secondaire premier cycle</t>
        </is>
      </c>
      <c r="B37" s="7" t="n">
        <v>23</v>
      </c>
      <c r="C37" s="7" t="n">
        <v>46</v>
      </c>
    </row>
    <row r="38">
      <c r="A38" s="6" t="inlineStr">
        <is>
          <t>Primaire</t>
        </is>
      </c>
      <c r="B38" s="8" t="n">
        <v>20</v>
      </c>
      <c r="C38" s="8" t="n">
        <v>40</v>
      </c>
    </row>
    <row r="39">
      <c r="A39" s="5" t="inlineStr">
        <is>
          <t>Aucun</t>
        </is>
      </c>
      <c r="B39" s="7" t="n">
        <v>4</v>
      </c>
      <c r="C39" s="7" t="n">
        <v>8</v>
      </c>
    </row>
    <row r="40">
      <c r="A40" s="6" t="inlineStr">
        <is>
          <t>Secondaire second cycle</t>
        </is>
      </c>
      <c r="B40" s="8" t="n">
        <v>3</v>
      </c>
      <c r="C40" s="8" t="n">
        <v>6</v>
      </c>
    </row>
    <row r="43">
      <c r="A43" s="3" t="inlineStr">
        <is>
          <t>Taille du ménage</t>
        </is>
      </c>
    </row>
    <row r="44">
      <c r="A44" s="4" t="inlineStr">
        <is>
          <t>Modalité</t>
        </is>
      </c>
      <c r="B44" s="4" t="inlineStr">
        <is>
          <t>Effectif</t>
        </is>
      </c>
      <c r="C44" s="4" t="inlineStr">
        <is>
          <t>%</t>
        </is>
      </c>
    </row>
    <row r="45">
      <c r="A45" s="5" t="inlineStr">
        <is>
          <t>[5 ; 10[</t>
        </is>
      </c>
      <c r="B45" s="7" t="n">
        <v>31</v>
      </c>
      <c r="C45" s="7" t="n">
        <v>62</v>
      </c>
    </row>
    <row r="46">
      <c r="A46" s="6" t="inlineStr">
        <is>
          <t>[10 ; 15[</t>
        </is>
      </c>
      <c r="B46" s="8" t="n">
        <v>10</v>
      </c>
      <c r="C46" s="8" t="n">
        <v>20</v>
      </c>
    </row>
    <row r="47">
      <c r="A47" s="5" t="inlineStr">
        <is>
          <t>≥ 15</t>
        </is>
      </c>
      <c r="B47" s="7" t="n">
        <v>5</v>
      </c>
      <c r="C47" s="7" t="n">
        <v>10</v>
      </c>
    </row>
    <row r="48">
      <c r="A48" s="6" t="inlineStr">
        <is>
          <t>˂ 5</t>
        </is>
      </c>
      <c r="B48" s="8" t="n">
        <v>4</v>
      </c>
      <c r="C48" s="8" t="n">
        <v>8</v>
      </c>
    </row>
    <row r="51">
      <c r="A51" s="3" t="inlineStr">
        <is>
          <t>Ancienneté collecte</t>
        </is>
      </c>
    </row>
    <row r="52">
      <c r="A52" s="4" t="inlineStr">
        <is>
          <t>Modalité</t>
        </is>
      </c>
      <c r="B52" s="4" t="inlineStr">
        <is>
          <t>Effectif</t>
        </is>
      </c>
      <c r="C52" s="4" t="inlineStr">
        <is>
          <t>%</t>
        </is>
      </c>
    </row>
    <row r="53">
      <c r="A53" s="5" t="inlineStr">
        <is>
          <t>Moins de 5 ans</t>
        </is>
      </c>
      <c r="B53" s="7" t="n">
        <v>15</v>
      </c>
      <c r="C53" s="7" t="n">
        <v>30</v>
      </c>
    </row>
    <row r="54">
      <c r="A54" s="6" t="inlineStr">
        <is>
          <t>Entre 10 et 15 ans</t>
        </is>
      </c>
      <c r="B54" s="8" t="n">
        <v>13</v>
      </c>
      <c r="C54" s="8" t="n">
        <v>26</v>
      </c>
    </row>
    <row r="55">
      <c r="A55" s="5" t="inlineStr">
        <is>
          <t>Entre 15 et 20 ans</t>
        </is>
      </c>
      <c r="B55" s="7" t="n">
        <v>9</v>
      </c>
      <c r="C55" s="7" t="n">
        <v>18</v>
      </c>
    </row>
    <row r="56">
      <c r="A56" s="6" t="inlineStr">
        <is>
          <t>Entre 5 et 10 ans</t>
        </is>
      </c>
      <c r="B56" s="8" t="n">
        <v>7</v>
      </c>
      <c r="C56" s="8" t="n">
        <v>14</v>
      </c>
    </row>
    <row r="57">
      <c r="A57" s="5" t="inlineStr">
        <is>
          <t>Plus de 20 ans</t>
        </is>
      </c>
      <c r="B57" s="7" t="n">
        <v>6</v>
      </c>
      <c r="C57" s="7" t="n">
        <v>12</v>
      </c>
    </row>
    <row r="60">
      <c r="A60" s="3" t="inlineStr">
        <is>
          <t>Localité</t>
        </is>
      </c>
    </row>
    <row r="61">
      <c r="A61" s="4" t="inlineStr">
        <is>
          <t>Modalité</t>
        </is>
      </c>
      <c r="B61" s="4" t="inlineStr">
        <is>
          <t>Effectif</t>
        </is>
      </c>
      <c r="C61" s="4" t="inlineStr">
        <is>
          <t>%</t>
        </is>
      </c>
    </row>
    <row r="62">
      <c r="A62" s="6" t="inlineStr">
        <is>
          <t>Kongo</t>
        </is>
      </c>
      <c r="B62" s="8" t="n">
        <v>26</v>
      </c>
      <c r="C62" s="8" t="n">
        <v>52</v>
      </c>
    </row>
    <row r="63">
      <c r="A63" s="5" t="inlineStr">
        <is>
          <t>Zoulabot I</t>
        </is>
      </c>
      <c r="B63" s="7" t="n">
        <v>17</v>
      </c>
      <c r="C63" s="7" t="n">
        <v>34</v>
      </c>
    </row>
    <row r="64">
      <c r="A64" s="6" t="inlineStr">
        <is>
          <t>Eschambior</t>
        </is>
      </c>
      <c r="B64" s="8" t="n">
        <v>6</v>
      </c>
      <c r="C64" s="8" t="n">
        <v>12</v>
      </c>
    </row>
    <row r="65">
      <c r="A65" s="5" t="inlineStr">
        <is>
          <t>Malen</t>
        </is>
      </c>
      <c r="B65" s="7" t="n">
        <v>1</v>
      </c>
      <c r="C65" s="7" t="n">
        <v>2</v>
      </c>
    </row>
    <row r="68">
      <c r="A68" s="3" t="inlineStr">
        <is>
          <t>Sources de revenus</t>
        </is>
      </c>
    </row>
    <row r="69">
      <c r="A69" s="4" t="inlineStr">
        <is>
          <t>Modalité</t>
        </is>
      </c>
      <c r="B69" s="4" t="inlineStr">
        <is>
          <t>Effectif</t>
        </is>
      </c>
      <c r="C69" s="4" t="inlineStr">
        <is>
          <t>%</t>
        </is>
      </c>
    </row>
    <row r="70">
      <c r="A70" s="6" t="inlineStr">
        <is>
          <t>Agriculture</t>
        </is>
      </c>
      <c r="B70" s="8" t="n">
        <v>49</v>
      </c>
      <c r="C70" s="8" t="n">
        <v>98</v>
      </c>
    </row>
    <row r="71">
      <c r="A71" s="5" t="inlineStr">
        <is>
          <t>Petit commerce</t>
        </is>
      </c>
      <c r="B71" s="7" t="n">
        <v>22</v>
      </c>
      <c r="C71" s="7" t="n">
        <v>44</v>
      </c>
    </row>
    <row r="72">
      <c r="A72" s="6" t="inlineStr">
        <is>
          <t>Chasse</t>
        </is>
      </c>
      <c r="B72" s="8" t="n">
        <v>7</v>
      </c>
      <c r="C72" s="8" t="n">
        <v>14</v>
      </c>
    </row>
    <row r="73">
      <c r="A73" s="5" t="inlineStr">
        <is>
          <t>Commerce</t>
        </is>
      </c>
      <c r="B73" s="7" t="n">
        <v>5</v>
      </c>
      <c r="C73" s="7" t="n">
        <v>10</v>
      </c>
    </row>
    <row r="74">
      <c r="A74" s="6" t="inlineStr">
        <is>
          <t>Elevage</t>
        </is>
      </c>
      <c r="B74" s="8" t="n">
        <v>4</v>
      </c>
      <c r="C74" s="8" t="n">
        <v>8</v>
      </c>
    </row>
    <row r="75">
      <c r="A75" s="5" t="inlineStr">
        <is>
          <t>Peche</t>
        </is>
      </c>
      <c r="B75" s="7" t="n">
        <v>3</v>
      </c>
      <c r="C75" s="7" t="n">
        <v>6</v>
      </c>
    </row>
    <row r="78">
      <c r="A78" s="3" t="inlineStr">
        <is>
          <t>Répartition par GIC (corrigée)</t>
        </is>
      </c>
    </row>
    <row r="79">
      <c r="A79" s="4" t="inlineStr">
        <is>
          <t>GIC</t>
        </is>
      </c>
      <c r="B79" s="4" t="inlineStr">
        <is>
          <t>Effectif</t>
        </is>
      </c>
      <c r="C79" s="4" t="inlineStr">
        <is>
          <t>%</t>
        </is>
      </c>
    </row>
    <row r="80">
      <c r="A80" s="6" t="inlineStr">
        <is>
          <t>Lumière plus</t>
        </is>
      </c>
      <c r="B80" s="8" t="n">
        <v>20</v>
      </c>
      <c r="C80" s="8" t="n">
        <v>40</v>
      </c>
    </row>
    <row r="81">
      <c r="A81" s="5" t="inlineStr">
        <is>
          <t>Mpoulah Mepeh</t>
        </is>
      </c>
      <c r="B81" s="7" t="n">
        <v>17</v>
      </c>
      <c r="C81" s="7" t="n">
        <v>34</v>
      </c>
    </row>
    <row r="82">
      <c r="A82" s="6" t="inlineStr">
        <is>
          <t>PLACKO</t>
        </is>
      </c>
      <c r="B82" s="8" t="n">
        <v>7</v>
      </c>
      <c r="C82" s="8" t="n">
        <v>14</v>
      </c>
    </row>
    <row r="83">
      <c r="A83" s="5" t="inlineStr">
        <is>
          <t>Femmes Dynamiques</t>
        </is>
      </c>
      <c r="B83" s="7" t="n">
        <v>6</v>
      </c>
      <c r="C83" s="7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10" customWidth="1" min="4" max="4"/>
    <col width="10" customWidth="1" min="5" max="5"/>
  </cols>
  <sheetData>
    <row r="1">
      <c r="A1" s="3" t="inlineStr">
        <is>
          <t>Fréquence de citation des PFNL (N=50)</t>
        </is>
      </c>
    </row>
    <row r="2">
      <c r="A2" s="4" t="inlineStr">
        <is>
          <t>Rang</t>
        </is>
      </c>
      <c r="B2" s="4" t="inlineStr">
        <is>
          <t>PFNL</t>
        </is>
      </c>
      <c r="C2" s="4" t="inlineStr">
        <is>
          <t>Nom scientifique</t>
        </is>
      </c>
      <c r="D2" s="4" t="inlineStr">
        <is>
          <t>n</t>
        </is>
      </c>
      <c r="E2" s="4" t="inlineStr">
        <is>
          <t>fc (%)</t>
        </is>
      </c>
    </row>
    <row r="3">
      <c r="A3" s="5" t="n">
        <v>1</v>
      </c>
      <c r="B3" s="5" t="inlineStr">
        <is>
          <t>Mango</t>
        </is>
      </c>
      <c r="C3" s="5" t="inlineStr">
        <is>
          <t>Irvingia gabonensis</t>
        </is>
      </c>
      <c r="D3" s="7" t="n">
        <v>48</v>
      </c>
      <c r="E3" s="7" t="n">
        <v>96</v>
      </c>
    </row>
    <row r="4">
      <c r="A4" s="6" t="n">
        <v>2</v>
      </c>
      <c r="B4" s="6" t="inlineStr">
        <is>
          <t>Rondelle</t>
        </is>
      </c>
      <c r="C4" s="6" t="inlineStr">
        <is>
          <t>Afrostyrax lepidophyllus</t>
        </is>
      </c>
      <c r="D4" s="8" t="n">
        <v>31</v>
      </c>
      <c r="E4" s="8" t="n">
        <v>62</v>
      </c>
    </row>
    <row r="5">
      <c r="A5" s="5" t="n">
        <v>3</v>
      </c>
      <c r="B5" s="5" t="inlineStr">
        <is>
          <t>Mbalaka</t>
        </is>
      </c>
      <c r="C5" s="5" t="inlineStr">
        <is>
          <t>Pentaclethra macrophylla</t>
        </is>
      </c>
      <c r="D5" s="7" t="n">
        <v>30</v>
      </c>
      <c r="E5" s="7" t="n">
        <v>60</v>
      </c>
    </row>
    <row r="6">
      <c r="A6" s="6" t="n">
        <v>4</v>
      </c>
      <c r="B6" s="6" t="inlineStr">
        <is>
          <t>Djansang</t>
        </is>
      </c>
      <c r="C6" s="6" t="inlineStr">
        <is>
          <t>Ricinodendron heudelotii</t>
        </is>
      </c>
      <c r="D6" s="8" t="n">
        <v>20</v>
      </c>
      <c r="E6" s="8" t="n">
        <v>40</v>
      </c>
    </row>
    <row r="7">
      <c r="A7" s="5" t="n">
        <v>5</v>
      </c>
      <c r="B7" s="5" t="inlineStr">
        <is>
          <t>Moabi</t>
        </is>
      </c>
      <c r="C7" s="5" t="inlineStr">
        <is>
          <t>Baillonella toxisperma</t>
        </is>
      </c>
      <c r="D7" s="7" t="n">
        <v>17</v>
      </c>
      <c r="E7" s="7" t="n">
        <v>34</v>
      </c>
    </row>
    <row r="8">
      <c r="A8" s="6" t="n">
        <v>6</v>
      </c>
      <c r="B8" s="6" t="inlineStr">
        <is>
          <t>Tondo</t>
        </is>
      </c>
      <c r="C8" s="6" t="inlineStr">
        <is>
          <t>Aframomum sp.</t>
        </is>
      </c>
      <c r="D8" s="8" t="n">
        <v>11</v>
      </c>
      <c r="E8" s="8" t="n">
        <v>22</v>
      </c>
    </row>
    <row r="9">
      <c r="A9" s="5" t="n">
        <v>7</v>
      </c>
      <c r="B9" s="5" t="inlineStr">
        <is>
          <t>4 Côtés</t>
        </is>
      </c>
      <c r="C9" s="5" t="inlineStr">
        <is>
          <t>Tetrapleura tetraptera</t>
        </is>
      </c>
      <c r="D9" s="7" t="n">
        <v>9</v>
      </c>
      <c r="E9" s="7" t="n">
        <v>18</v>
      </c>
    </row>
    <row r="10">
      <c r="A10" s="6" t="n">
        <v>8</v>
      </c>
      <c r="B10" s="6" t="inlineStr">
        <is>
          <t>Pèpè</t>
        </is>
      </c>
      <c r="C10" s="6" t="inlineStr">
        <is>
          <t>Monodora myristica</t>
        </is>
      </c>
      <c r="D10" s="8" t="n">
        <v>2</v>
      </c>
      <c r="E10" s="8" t="n">
        <v>4</v>
      </c>
    </row>
    <row r="11">
      <c r="A11" s="5" t="n">
        <v>9</v>
      </c>
      <c r="B11" s="5" t="inlineStr">
        <is>
          <t>Koutou</t>
        </is>
      </c>
      <c r="C11" s="5" t="inlineStr">
        <is>
          <t>Armillaria camerunensis</t>
        </is>
      </c>
      <c r="D11" s="7" t="n">
        <v>2</v>
      </c>
      <c r="E11" s="7" t="n">
        <v>4</v>
      </c>
    </row>
    <row r="12">
      <c r="A12" s="6" t="n">
        <v>10</v>
      </c>
      <c r="B12" s="6" t="inlineStr">
        <is>
          <t>Bitter cola</t>
        </is>
      </c>
      <c r="C12" s="6" t="inlineStr">
        <is>
          <t>Garcinia kola</t>
        </is>
      </c>
      <c r="D12" s="8" t="n">
        <v>1</v>
      </c>
      <c r="E12" s="8" t="n">
        <v>2</v>
      </c>
    </row>
    <row r="13">
      <c r="A13" s="5" t="n">
        <v>11</v>
      </c>
      <c r="B13" s="5" t="inlineStr">
        <is>
          <t>Piment des oiseaux</t>
        </is>
      </c>
      <c r="C13" s="5" t="inlineStr">
        <is>
          <t>Capsicum frutescens</t>
        </is>
      </c>
      <c r="D13" s="7" t="n">
        <v>1</v>
      </c>
      <c r="E13" s="7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</cols>
  <sheetData>
    <row r="1">
      <c r="A1" s="3" t="inlineStr">
        <is>
          <t>Mango (unité : Combo)</t>
        </is>
      </c>
      <c r="L1" t="inlineStr">
        <is>
          <t>PFNL</t>
        </is>
      </c>
      <c r="M1" t="inlineStr">
        <is>
          <t>Part</t>
        </is>
      </c>
    </row>
    <row r="2">
      <c r="A2" s="4" t="inlineStr">
        <is>
          <t>Variable</t>
        </is>
      </c>
      <c r="B2" s="4" t="inlineStr">
        <is>
          <t>n</t>
        </is>
      </c>
      <c r="C2" s="4" t="inlineStr">
        <is>
          <t>Moyenne</t>
        </is>
      </c>
      <c r="D2" s="4" t="inlineStr">
        <is>
          <t>Médiane</t>
        </is>
      </c>
      <c r="E2" s="4" t="inlineStr">
        <is>
          <t>Écart-type</t>
        </is>
      </c>
      <c r="F2" s="4" t="inlineStr">
        <is>
          <t>Min</t>
        </is>
      </c>
      <c r="G2" s="4" t="inlineStr">
        <is>
          <t>Max</t>
        </is>
      </c>
      <c r="H2" s="4" t="inlineStr">
        <is>
          <t>CV %</t>
        </is>
      </c>
      <c r="L2" t="inlineStr">
        <is>
          <t>Mango</t>
        </is>
      </c>
      <c r="M2" t="n">
        <v>39.1</v>
      </c>
    </row>
    <row r="3">
      <c r="A3" s="5" t="inlineStr">
        <is>
          <t>Qté collectée</t>
        </is>
      </c>
      <c r="B3" s="7" t="n">
        <v>47</v>
      </c>
      <c r="C3" s="7" t="n">
        <v>99.2</v>
      </c>
      <c r="D3" s="7" t="n">
        <v>90</v>
      </c>
      <c r="E3" s="7" t="n">
        <v>60.7</v>
      </c>
      <c r="F3" s="7" t="n">
        <v>18</v>
      </c>
      <c r="G3" s="7" t="n">
        <v>300</v>
      </c>
      <c r="H3" s="7" t="n">
        <v>61.2</v>
      </c>
      <c r="L3" t="inlineStr">
        <is>
          <t>Rondelle</t>
        </is>
      </c>
      <c r="M3" t="n">
        <v>36.4</v>
      </c>
    </row>
    <row r="4">
      <c r="A4" s="6" t="inlineStr">
        <is>
          <t>Qté autoconsommée</t>
        </is>
      </c>
      <c r="B4" s="8" t="n">
        <v>47</v>
      </c>
      <c r="C4" s="8" t="n">
        <v>14.9</v>
      </c>
      <c r="D4" s="8" t="n">
        <v>10</v>
      </c>
      <c r="E4" s="8" t="n">
        <v>14</v>
      </c>
      <c r="F4" s="8" t="n">
        <v>0</v>
      </c>
      <c r="G4" s="8" t="n">
        <v>60</v>
      </c>
      <c r="H4" s="8" t="n">
        <v>94.3</v>
      </c>
      <c r="L4" t="inlineStr">
        <is>
          <t>Mbalaka</t>
        </is>
      </c>
      <c r="M4" t="n">
        <v>17.3</v>
      </c>
    </row>
    <row r="5">
      <c r="A5" s="5" t="inlineStr">
        <is>
          <t>Qté vendue</t>
        </is>
      </c>
      <c r="B5" s="7" t="n">
        <v>47</v>
      </c>
      <c r="C5" s="7" t="n">
        <v>84.40000000000001</v>
      </c>
      <c r="D5" s="7" t="n">
        <v>87</v>
      </c>
      <c r="E5" s="7" t="n">
        <v>55.5</v>
      </c>
      <c r="F5" s="7" t="n">
        <v>15</v>
      </c>
      <c r="G5" s="7" t="n">
        <v>285</v>
      </c>
      <c r="H5" s="7" t="n">
        <v>65.8</v>
      </c>
      <c r="L5" t="inlineStr">
        <is>
          <t>Djansang</t>
        </is>
      </c>
      <c r="M5" t="n">
        <v>3.8</v>
      </c>
    </row>
    <row r="6">
      <c r="A6" s="6" t="inlineStr">
        <is>
          <t>Prix unitaire (FCFA)</t>
        </is>
      </c>
      <c r="B6" s="8" t="n">
        <v>47</v>
      </c>
      <c r="C6" s="8" t="n">
        <v>2744.7</v>
      </c>
      <c r="D6" s="8" t="n">
        <v>2500</v>
      </c>
      <c r="E6" s="8" t="n">
        <v>292.5</v>
      </c>
      <c r="F6" s="8" t="n">
        <v>2000</v>
      </c>
      <c r="G6" s="8" t="n">
        <v>3500</v>
      </c>
      <c r="H6" s="8" t="n">
        <v>10.7</v>
      </c>
      <c r="L6" t="inlineStr">
        <is>
          <t>Moabi</t>
        </is>
      </c>
      <c r="M6" t="n">
        <v>3.5</v>
      </c>
    </row>
    <row r="7">
      <c r="A7" s="5" t="inlineStr">
        <is>
          <t>Revenu (FCFA)</t>
        </is>
      </c>
      <c r="B7" s="7" t="n">
        <v>47</v>
      </c>
      <c r="C7" s="7" t="n">
        <v>230755.3</v>
      </c>
      <c r="D7" s="7" t="n">
        <v>217500</v>
      </c>
      <c r="E7" s="7" t="n">
        <v>159519.2</v>
      </c>
      <c r="F7" s="7" t="n">
        <v>45000</v>
      </c>
      <c r="G7" s="7" t="n">
        <v>855000</v>
      </c>
      <c r="H7" s="7" t="n">
        <v>69.09999999999999</v>
      </c>
    </row>
    <row r="10">
      <c r="A10" s="3" t="inlineStr">
        <is>
          <t>Rondelle (unité : Combo)</t>
        </is>
      </c>
    </row>
    <row r="11">
      <c r="A11" s="4" t="inlineStr">
        <is>
          <t>Variable</t>
        </is>
      </c>
      <c r="B11" s="4" t="inlineStr">
        <is>
          <t>n</t>
        </is>
      </c>
      <c r="C11" s="4" t="inlineStr">
        <is>
          <t>Moyenne</t>
        </is>
      </c>
      <c r="D11" s="4" t="inlineStr">
        <is>
          <t>Médiane</t>
        </is>
      </c>
      <c r="E11" s="4" t="inlineStr">
        <is>
          <t>Écart-type</t>
        </is>
      </c>
      <c r="F11" s="4" t="inlineStr">
        <is>
          <t>Min</t>
        </is>
      </c>
      <c r="G11" s="4" t="inlineStr">
        <is>
          <t>Max</t>
        </is>
      </c>
      <c r="H11" s="4" t="inlineStr">
        <is>
          <t>CV %</t>
        </is>
      </c>
    </row>
    <row r="12">
      <c r="A12" s="6" t="inlineStr">
        <is>
          <t>Qté collectée</t>
        </is>
      </c>
      <c r="B12" s="8" t="n">
        <v>30</v>
      </c>
      <c r="C12" s="8" t="n">
        <v>153.8</v>
      </c>
      <c r="D12" s="8" t="n">
        <v>150</v>
      </c>
      <c r="E12" s="8" t="n">
        <v>95.59999999999999</v>
      </c>
      <c r="F12" s="8" t="n">
        <v>10</v>
      </c>
      <c r="G12" s="8" t="n">
        <v>360</v>
      </c>
      <c r="H12" s="8" t="n">
        <v>62.2</v>
      </c>
    </row>
    <row r="13">
      <c r="A13" s="5" t="inlineStr">
        <is>
          <t>Qté autoconsommée</t>
        </is>
      </c>
      <c r="B13" s="7" t="n">
        <v>30</v>
      </c>
      <c r="C13" s="7" t="n">
        <v>2.7</v>
      </c>
      <c r="D13" s="7" t="n">
        <v>0.8</v>
      </c>
      <c r="E13" s="7" t="n">
        <v>6.2</v>
      </c>
      <c r="F13" s="7" t="n">
        <v>0</v>
      </c>
      <c r="G13" s="7" t="n">
        <v>30</v>
      </c>
      <c r="H13" s="7" t="n">
        <v>227.8</v>
      </c>
    </row>
    <row r="14">
      <c r="A14" s="6" t="inlineStr">
        <is>
          <t>Qté vendue</t>
        </is>
      </c>
      <c r="B14" s="8" t="n">
        <v>30</v>
      </c>
      <c r="C14" s="8" t="n">
        <v>151.1</v>
      </c>
      <c r="D14" s="8" t="n">
        <v>148.2</v>
      </c>
      <c r="E14" s="8" t="n">
        <v>94.2</v>
      </c>
      <c r="F14" s="8" t="n">
        <v>9.5</v>
      </c>
      <c r="G14" s="8" t="n">
        <v>350</v>
      </c>
      <c r="H14" s="8" t="n">
        <v>62.3</v>
      </c>
    </row>
    <row r="15">
      <c r="A15" s="5" t="inlineStr">
        <is>
          <t>Prix unitaire (FCFA)</t>
        </is>
      </c>
      <c r="B15" s="7" t="n">
        <v>30</v>
      </c>
      <c r="C15" s="7" t="n">
        <v>2533.3</v>
      </c>
      <c r="D15" s="7" t="n">
        <v>2000</v>
      </c>
      <c r="E15" s="7" t="n">
        <v>1519.6</v>
      </c>
      <c r="F15" s="7" t="n">
        <v>2000</v>
      </c>
      <c r="G15" s="7" t="n">
        <v>7000</v>
      </c>
      <c r="H15" s="7" t="n">
        <v>60</v>
      </c>
    </row>
    <row r="16">
      <c r="A16" s="6" t="inlineStr">
        <is>
          <t>Revenu (FCFA)</t>
        </is>
      </c>
      <c r="B16" s="8" t="n">
        <v>30</v>
      </c>
      <c r="C16" s="8" t="n">
        <v>336916.7</v>
      </c>
      <c r="D16" s="8" t="n">
        <v>330000</v>
      </c>
      <c r="E16" s="8" t="n">
        <v>188008.4</v>
      </c>
      <c r="F16" s="8" t="n">
        <v>19000</v>
      </c>
      <c r="G16" s="8" t="n">
        <v>700000</v>
      </c>
      <c r="H16" s="8" t="n">
        <v>55.8</v>
      </c>
    </row>
    <row r="19">
      <c r="A19" s="3" t="inlineStr">
        <is>
          <t>Mbalaka (unité : Combo)</t>
        </is>
      </c>
    </row>
    <row r="20">
      <c r="A20" s="4" t="inlineStr">
        <is>
          <t>Variable</t>
        </is>
      </c>
      <c r="B20" s="4" t="inlineStr">
        <is>
          <t>n</t>
        </is>
      </c>
      <c r="C20" s="4" t="inlineStr">
        <is>
          <t>Moyenne</t>
        </is>
      </c>
      <c r="D20" s="4" t="inlineStr">
        <is>
          <t>Médiane</t>
        </is>
      </c>
      <c r="E20" s="4" t="inlineStr">
        <is>
          <t>Écart-type</t>
        </is>
      </c>
      <c r="F20" s="4" t="inlineStr">
        <is>
          <t>Min</t>
        </is>
      </c>
      <c r="G20" s="4" t="inlineStr">
        <is>
          <t>Max</t>
        </is>
      </c>
      <c r="H20" s="4" t="inlineStr">
        <is>
          <t>CV %</t>
        </is>
      </c>
    </row>
    <row r="21">
      <c r="A21" s="5" t="inlineStr">
        <is>
          <t>Qté collectée</t>
        </is>
      </c>
      <c r="B21" s="7" t="n">
        <v>29</v>
      </c>
      <c r="C21" s="7" t="n">
        <v>178.7</v>
      </c>
      <c r="D21" s="7" t="n">
        <v>120</v>
      </c>
      <c r="E21" s="7" t="n">
        <v>155.6</v>
      </c>
      <c r="F21" s="7" t="n">
        <v>15</v>
      </c>
      <c r="G21" s="7" t="n">
        <v>600</v>
      </c>
      <c r="H21" s="7" t="n">
        <v>87</v>
      </c>
    </row>
    <row r="22">
      <c r="A22" s="6" t="inlineStr">
        <is>
          <t>Qté autoconsommée</t>
        </is>
      </c>
      <c r="B22" s="8" t="n">
        <v>29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6" t="n"/>
    </row>
    <row r="23">
      <c r="A23" s="5" t="inlineStr">
        <is>
          <t>Qté vendue</t>
        </is>
      </c>
      <c r="B23" s="7" t="n">
        <v>29</v>
      </c>
      <c r="C23" s="7" t="n">
        <v>178.7</v>
      </c>
      <c r="D23" s="7" t="n">
        <v>120</v>
      </c>
      <c r="E23" s="7" t="n">
        <v>155.6</v>
      </c>
      <c r="F23" s="7" t="n">
        <v>15</v>
      </c>
      <c r="G23" s="7" t="n">
        <v>600</v>
      </c>
      <c r="H23" s="7" t="n">
        <v>87</v>
      </c>
    </row>
    <row r="24">
      <c r="A24" s="6" t="inlineStr">
        <is>
          <t>Prix unitaire (FCFA)</t>
        </is>
      </c>
      <c r="B24" s="8" t="n">
        <v>29</v>
      </c>
      <c r="C24" s="8" t="n">
        <v>944.8</v>
      </c>
      <c r="D24" s="8" t="n">
        <v>1000</v>
      </c>
      <c r="E24" s="8" t="n">
        <v>111.3</v>
      </c>
      <c r="F24" s="8" t="n">
        <v>700</v>
      </c>
      <c r="G24" s="8" t="n">
        <v>1000</v>
      </c>
      <c r="H24" s="8" t="n">
        <v>11.8</v>
      </c>
    </row>
    <row r="25">
      <c r="A25" s="5" t="inlineStr">
        <is>
          <t>Revenu (FCFA)</t>
        </is>
      </c>
      <c r="B25" s="7" t="n">
        <v>29</v>
      </c>
      <c r="C25" s="7" t="n">
        <v>165362.1</v>
      </c>
      <c r="D25" s="7" t="n">
        <v>120000</v>
      </c>
      <c r="E25" s="7" t="n">
        <v>145966.3</v>
      </c>
      <c r="F25" s="7" t="n">
        <v>15000</v>
      </c>
      <c r="G25" s="7" t="n">
        <v>600000</v>
      </c>
      <c r="H25" s="7" t="n">
        <v>88.3</v>
      </c>
    </row>
    <row r="28">
      <c r="A28" s="3" t="inlineStr">
        <is>
          <t>Djansang (unité : Combo)</t>
        </is>
      </c>
    </row>
    <row r="29">
      <c r="A29" s="4" t="inlineStr">
        <is>
          <t>Variable</t>
        </is>
      </c>
      <c r="B29" s="4" t="inlineStr">
        <is>
          <t>n</t>
        </is>
      </c>
      <c r="C29" s="4" t="inlineStr">
        <is>
          <t>Moyenne</t>
        </is>
      </c>
      <c r="D29" s="4" t="inlineStr">
        <is>
          <t>Médiane</t>
        </is>
      </c>
      <c r="E29" s="4" t="inlineStr">
        <is>
          <t>Écart-type</t>
        </is>
      </c>
      <c r="F29" s="4" t="inlineStr">
        <is>
          <t>Min</t>
        </is>
      </c>
      <c r="G29" s="4" t="inlineStr">
        <is>
          <t>Max</t>
        </is>
      </c>
      <c r="H29" s="4" t="inlineStr">
        <is>
          <t>CV %</t>
        </is>
      </c>
    </row>
    <row r="30">
      <c r="A30" s="6" t="inlineStr">
        <is>
          <t>Qté collectée</t>
        </is>
      </c>
      <c r="B30" s="8" t="n">
        <v>19</v>
      </c>
      <c r="C30" s="8" t="n">
        <v>14.1</v>
      </c>
      <c r="D30" s="8" t="n">
        <v>7.5</v>
      </c>
      <c r="E30" s="8" t="n">
        <v>16</v>
      </c>
      <c r="F30" s="8" t="n">
        <v>1</v>
      </c>
      <c r="G30" s="8" t="n">
        <v>60</v>
      </c>
      <c r="H30" s="8" t="n">
        <v>113.2</v>
      </c>
    </row>
    <row r="31">
      <c r="A31" s="5" t="inlineStr">
        <is>
          <t>Qté autoconsommée</t>
        </is>
      </c>
      <c r="B31" s="7" t="n">
        <v>19</v>
      </c>
      <c r="C31" s="7" t="n">
        <v>3</v>
      </c>
      <c r="D31" s="7" t="n">
        <v>1.5</v>
      </c>
      <c r="E31" s="7" t="n">
        <v>3.5</v>
      </c>
      <c r="F31" s="7" t="n">
        <v>0.5</v>
      </c>
      <c r="G31" s="7" t="n">
        <v>15</v>
      </c>
      <c r="H31" s="7" t="n">
        <v>117.7</v>
      </c>
    </row>
    <row r="32">
      <c r="A32" s="6" t="inlineStr">
        <is>
          <t>Qté vendue</t>
        </is>
      </c>
      <c r="B32" s="8" t="n">
        <v>19</v>
      </c>
      <c r="C32" s="8" t="n">
        <v>14.8</v>
      </c>
      <c r="D32" s="8" t="n">
        <v>6</v>
      </c>
      <c r="E32" s="8" t="n">
        <v>24.2</v>
      </c>
      <c r="F32" s="8" t="n">
        <v>0</v>
      </c>
      <c r="G32" s="8" t="n">
        <v>105</v>
      </c>
      <c r="H32" s="8" t="n">
        <v>164.2</v>
      </c>
    </row>
    <row r="33">
      <c r="A33" s="5" t="inlineStr">
        <is>
          <t>Prix unitaire (FCFA)</t>
        </is>
      </c>
      <c r="B33" s="7" t="n">
        <v>17</v>
      </c>
      <c r="C33" s="7" t="n">
        <v>3852.9</v>
      </c>
      <c r="D33" s="7" t="n">
        <v>5000</v>
      </c>
      <c r="E33" s="7" t="n">
        <v>1296.2</v>
      </c>
      <c r="F33" s="7" t="n">
        <v>2000</v>
      </c>
      <c r="G33" s="7" t="n">
        <v>5000</v>
      </c>
      <c r="H33" s="7" t="n">
        <v>33.6</v>
      </c>
    </row>
    <row r="34">
      <c r="A34" s="6" t="inlineStr">
        <is>
          <t>Revenu (FCFA)</t>
        </is>
      </c>
      <c r="B34" s="8" t="n">
        <v>19</v>
      </c>
      <c r="C34" s="8" t="n">
        <v>54842.1</v>
      </c>
      <c r="D34" s="8" t="n">
        <v>25000</v>
      </c>
      <c r="E34" s="8" t="n">
        <v>80955.60000000001</v>
      </c>
      <c r="F34" s="8" t="n">
        <v>0</v>
      </c>
      <c r="G34" s="8" t="n">
        <v>315000</v>
      </c>
      <c r="H34" s="8" t="n">
        <v>147.6</v>
      </c>
    </row>
    <row r="37">
      <c r="A37" s="3" t="inlineStr">
        <is>
          <t>Moabi (unité : litre (huile))</t>
        </is>
      </c>
    </row>
    <row r="38">
      <c r="A38" s="4" t="inlineStr">
        <is>
          <t>Variable</t>
        </is>
      </c>
      <c r="B38" s="4" t="inlineStr">
        <is>
          <t>n</t>
        </is>
      </c>
      <c r="C38" s="4" t="inlineStr">
        <is>
          <t>Moyenne</t>
        </is>
      </c>
      <c r="D38" s="4" t="inlineStr">
        <is>
          <t>Médiane</t>
        </is>
      </c>
      <c r="E38" s="4" t="inlineStr">
        <is>
          <t>Écart-type</t>
        </is>
      </c>
      <c r="F38" s="4" t="inlineStr">
        <is>
          <t>Min</t>
        </is>
      </c>
      <c r="G38" s="4" t="inlineStr">
        <is>
          <t>Max</t>
        </is>
      </c>
      <c r="H38" s="4" t="inlineStr">
        <is>
          <t>CV %</t>
        </is>
      </c>
    </row>
    <row r="39">
      <c r="A39" s="5" t="inlineStr">
        <is>
          <t>Qté collectée</t>
        </is>
      </c>
      <c r="B39" s="7" t="n">
        <v>15</v>
      </c>
      <c r="C39" s="7" t="n">
        <v>41.7</v>
      </c>
      <c r="D39" s="7" t="n">
        <v>40</v>
      </c>
      <c r="E39" s="7" t="n">
        <v>29.9</v>
      </c>
      <c r="F39" s="7" t="n">
        <v>3</v>
      </c>
      <c r="G39" s="7" t="n">
        <v>100</v>
      </c>
      <c r="H39" s="7" t="n">
        <v>71.7</v>
      </c>
    </row>
    <row r="40">
      <c r="A40" s="6" t="inlineStr">
        <is>
          <t>Qté autoconsommée</t>
        </is>
      </c>
      <c r="B40" s="8" t="n">
        <v>15</v>
      </c>
      <c r="C40" s="8" t="n">
        <v>14.5</v>
      </c>
      <c r="D40" s="8" t="n">
        <v>10</v>
      </c>
      <c r="E40" s="8" t="n">
        <v>15.1</v>
      </c>
      <c r="F40" s="8" t="n">
        <v>0</v>
      </c>
      <c r="G40" s="8" t="n">
        <v>60</v>
      </c>
      <c r="H40" s="8" t="n">
        <v>104</v>
      </c>
    </row>
    <row r="41">
      <c r="A41" s="5" t="inlineStr">
        <is>
          <t>Qté vendue</t>
        </is>
      </c>
      <c r="B41" s="7" t="n">
        <v>15</v>
      </c>
      <c r="C41" s="7" t="n">
        <v>27.2</v>
      </c>
      <c r="D41" s="7" t="n">
        <v>20</v>
      </c>
      <c r="E41" s="7" t="n">
        <v>21.1</v>
      </c>
      <c r="F41" s="7" t="n">
        <v>0</v>
      </c>
      <c r="G41" s="7" t="n">
        <v>60</v>
      </c>
      <c r="H41" s="7" t="n">
        <v>77.40000000000001</v>
      </c>
    </row>
    <row r="42">
      <c r="A42" s="6" t="inlineStr">
        <is>
          <t>Prix unitaire (FCFA)</t>
        </is>
      </c>
      <c r="B42" s="8" t="n">
        <v>13</v>
      </c>
      <c r="C42" s="8" t="n">
        <v>2384.6</v>
      </c>
      <c r="D42" s="8" t="n">
        <v>2500</v>
      </c>
      <c r="E42" s="8" t="n">
        <v>362.5</v>
      </c>
      <c r="F42" s="8" t="n">
        <v>2000</v>
      </c>
      <c r="G42" s="8" t="n">
        <v>3000</v>
      </c>
      <c r="H42" s="8" t="n">
        <v>15.2</v>
      </c>
    </row>
    <row r="43">
      <c r="A43" s="5" t="inlineStr">
        <is>
          <t>Revenu (FCFA)</t>
        </is>
      </c>
      <c r="B43" s="7" t="n">
        <v>15</v>
      </c>
      <c r="C43" s="7" t="n">
        <v>64433.3</v>
      </c>
      <c r="D43" s="7" t="n">
        <v>60000</v>
      </c>
      <c r="E43" s="7" t="n">
        <v>51285.2</v>
      </c>
      <c r="F43" s="7" t="n">
        <v>0</v>
      </c>
      <c r="G43" s="7" t="n">
        <v>180000</v>
      </c>
      <c r="H43" s="7" t="n">
        <v>79.59999999999999</v>
      </c>
    </row>
    <row r="46">
      <c r="A46" s="3" t="inlineStr">
        <is>
          <t>Contribution au revenu total</t>
        </is>
      </c>
    </row>
    <row r="47">
      <c r="A47" s="4" t="inlineStr">
        <is>
          <t>PFNL</t>
        </is>
      </c>
      <c r="B47" s="4" t="inlineStr">
        <is>
          <t>Revenu total (FCFA)</t>
        </is>
      </c>
      <c r="C47" s="4" t="inlineStr">
        <is>
          <t>Part (%)</t>
        </is>
      </c>
    </row>
    <row r="48">
      <c r="A48" s="6" t="inlineStr">
        <is>
          <t>Mango</t>
        </is>
      </c>
      <c r="B48" s="8" t="n">
        <v>10845500</v>
      </c>
      <c r="C48" s="8" t="n">
        <v>39.1</v>
      </c>
    </row>
    <row r="49">
      <c r="A49" s="5" t="inlineStr">
        <is>
          <t>Rondelle</t>
        </is>
      </c>
      <c r="B49" s="7" t="n">
        <v>10107500</v>
      </c>
      <c r="C49" s="7" t="n">
        <v>36.4</v>
      </c>
    </row>
    <row r="50">
      <c r="A50" s="6" t="inlineStr">
        <is>
          <t>Mbalaka</t>
        </is>
      </c>
      <c r="B50" s="8" t="n">
        <v>4795500</v>
      </c>
      <c r="C50" s="8" t="n">
        <v>17.3</v>
      </c>
    </row>
    <row r="51">
      <c r="A51" s="5" t="inlineStr">
        <is>
          <t>Djansang</t>
        </is>
      </c>
      <c r="B51" s="7" t="n">
        <v>1042000</v>
      </c>
      <c r="C51" s="7" t="n">
        <v>3.8</v>
      </c>
    </row>
    <row r="52">
      <c r="A52" s="6" t="inlineStr">
        <is>
          <t>Moabi</t>
        </is>
      </c>
      <c r="B52" s="8" t="n">
        <v>966500</v>
      </c>
      <c r="C52" s="8" t="n">
        <v>3.5</v>
      </c>
    </row>
    <row r="53">
      <c r="A53" s="5" t="inlineStr">
        <is>
          <t>TOTAL</t>
        </is>
      </c>
      <c r="B53" s="7" t="n">
        <v>27757000</v>
      </c>
      <c r="C53" s="7" t="n">
        <v>100</v>
      </c>
    </row>
    <row r="56">
      <c r="A56" s="4" t="inlineStr">
        <is>
          <t>Revenu PFNL total / ménage</t>
        </is>
      </c>
      <c r="B56" s="4" t="inlineStr">
        <is>
          <t>FCFA</t>
        </is>
      </c>
    </row>
    <row r="57">
      <c r="A57" s="5" t="inlineStr">
        <is>
          <t>Moyenne</t>
        </is>
      </c>
      <c r="B57" s="7" t="n">
        <v>555140</v>
      </c>
    </row>
    <row r="58">
      <c r="A58" s="6" t="inlineStr">
        <is>
          <t>Médiane</t>
        </is>
      </c>
      <c r="B58" s="8" t="n">
        <v>498750</v>
      </c>
    </row>
    <row r="59">
      <c r="A59" s="5" t="inlineStr">
        <is>
          <t>Écart-type</t>
        </is>
      </c>
      <c r="B59" s="7" t="n">
        <v>396742</v>
      </c>
    </row>
    <row r="60">
      <c r="A60" s="6" t="inlineStr">
        <is>
          <t>IC 95 % bas</t>
        </is>
      </c>
      <c r="B60" s="8" t="n">
        <v>442387</v>
      </c>
    </row>
    <row r="61">
      <c r="A61" s="5" t="inlineStr">
        <is>
          <t>IC 95 % haut</t>
        </is>
      </c>
      <c r="B61" s="7" t="n">
        <v>667893</v>
      </c>
    </row>
    <row r="62">
      <c r="A62" s="6" t="inlineStr">
        <is>
          <t>Min</t>
        </is>
      </c>
      <c r="B62" s="8" t="n">
        <v>0</v>
      </c>
    </row>
    <row r="63">
      <c r="A63" s="5" t="inlineStr">
        <is>
          <t>Max</t>
        </is>
      </c>
      <c r="B63" s="7" t="n">
        <v>1687500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3" customWidth="1" min="3" max="3"/>
    <col width="10" customWidth="1" min="4" max="4"/>
    <col width="15" customWidth="1" min="5" max="5"/>
  </cols>
  <sheetData>
    <row r="1">
      <c r="A1" s="3" t="inlineStr">
        <is>
          <t>Déterminants du revenu PFNL</t>
        </is>
      </c>
    </row>
    <row r="2">
      <c r="A2" s="4" t="inlineStr">
        <is>
          <t>Relation testée</t>
        </is>
      </c>
      <c r="B2" s="4" t="inlineStr">
        <is>
          <t>Test</t>
        </is>
      </c>
      <c r="C2" s="4" t="inlineStr">
        <is>
          <t>Statistique</t>
        </is>
      </c>
      <c r="D2" s="4" t="inlineStr">
        <is>
          <t>p</t>
        </is>
      </c>
      <c r="E2" s="4" t="inlineStr">
        <is>
          <t>Conclusion</t>
        </is>
      </c>
    </row>
    <row r="3">
      <c r="A3" s="5" t="inlineStr">
        <is>
          <t>Revenu ~ Sexe</t>
        </is>
      </c>
      <c r="B3" s="5" t="inlineStr">
        <is>
          <t>Mann-Whitney</t>
        </is>
      </c>
      <c r="C3" s="7" t="n">
        <v>322</v>
      </c>
      <c r="D3" s="7" t="n">
        <v>0.1332</v>
      </c>
      <c r="E3" s="5" t="inlineStr">
        <is>
          <t>n.s.</t>
        </is>
      </c>
    </row>
    <row r="4">
      <c r="A4" s="6" t="inlineStr">
        <is>
          <t>Revenu ~ Taille ménage</t>
        </is>
      </c>
      <c r="B4" s="6" t="inlineStr">
        <is>
          <t>Kruskal-Wallis</t>
        </is>
      </c>
      <c r="C4" s="8" t="n">
        <v>0.1</v>
      </c>
      <c r="D4" s="8" t="n">
        <v>0.9923999999999999</v>
      </c>
      <c r="E4" s="6" t="inlineStr">
        <is>
          <t>n.s.</t>
        </is>
      </c>
    </row>
    <row r="5">
      <c r="A5" s="5" t="inlineStr">
        <is>
          <t>Revenu ~ Instruction</t>
        </is>
      </c>
      <c r="B5" s="5" t="inlineStr">
        <is>
          <t>Kruskal-Wallis</t>
        </is>
      </c>
      <c r="C5" s="7" t="n">
        <v>1.74</v>
      </c>
      <c r="D5" s="7" t="n">
        <v>0.6288</v>
      </c>
      <c r="E5" s="5" t="inlineStr">
        <is>
          <t>n.s.</t>
        </is>
      </c>
    </row>
    <row r="6">
      <c r="A6" s="6" t="inlineStr">
        <is>
          <t>Revenu ~ Ancienneté</t>
        </is>
      </c>
      <c r="B6" s="6" t="inlineStr">
        <is>
          <t>Kruskal-Wallis</t>
        </is>
      </c>
      <c r="C6" s="8" t="n">
        <v>27.23</v>
      </c>
      <c r="D6" s="6" t="inlineStr">
        <is>
          <t>&lt; 0,001</t>
        </is>
      </c>
      <c r="E6" s="6" t="inlineStr">
        <is>
          <t>significatif</t>
        </is>
      </c>
    </row>
    <row r="7">
      <c r="A7" s="5" t="inlineStr">
        <is>
          <t>Revenu ~ Localité</t>
        </is>
      </c>
      <c r="B7" s="5" t="inlineStr">
        <is>
          <t>Kruskal-Wallis</t>
        </is>
      </c>
      <c r="C7" s="7" t="n">
        <v>9.1</v>
      </c>
      <c r="D7" s="7" t="n">
        <v>0.0105</v>
      </c>
      <c r="E7" s="5" t="inlineStr">
        <is>
          <t>significatif</t>
        </is>
      </c>
    </row>
    <row r="8">
      <c r="A8" s="6" t="inlineStr">
        <is>
          <t>Revenu ~ Ethnie (Baka/Zimé)</t>
        </is>
      </c>
      <c r="B8" s="6" t="inlineStr">
        <is>
          <t>Mann-Whitney</t>
        </is>
      </c>
      <c r="C8" s="8" t="n">
        <v>16</v>
      </c>
      <c r="D8" s="8" t="n">
        <v>0.0028</v>
      </c>
      <c r="E8" s="6" t="inlineStr">
        <is>
          <t>significatif</t>
        </is>
      </c>
    </row>
    <row r="9">
      <c r="A9" s="5" t="inlineStr">
        <is>
          <t>Revenu ~ Nb PFNL</t>
        </is>
      </c>
      <c r="B9" s="5" t="inlineStr">
        <is>
          <t>Spearman</t>
        </is>
      </c>
      <c r="C9" s="7" t="n">
        <v>0.524</v>
      </c>
      <c r="D9" s="5" t="inlineStr">
        <is>
          <t>&lt; 0,001</t>
        </is>
      </c>
      <c r="E9" s="5" t="inlineStr">
        <is>
          <t>corrélation +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3" t="inlineStr">
        <is>
          <t>Indices par agroforêt</t>
        </is>
      </c>
    </row>
    <row r="2">
      <c r="A2" s="4" t="inlineStr">
        <is>
          <t>Agroforêt</t>
        </is>
      </c>
      <c r="B2" s="4" t="inlineStr">
        <is>
          <t>N</t>
        </is>
      </c>
      <c r="C2" s="4" t="inlineStr">
        <is>
          <t>Richesse S</t>
        </is>
      </c>
      <c r="D2" s="4" t="inlineStr">
        <is>
          <t>Shannon H'</t>
        </is>
      </c>
      <c r="E2" s="4" t="inlineStr">
        <is>
          <t>Simpson</t>
        </is>
      </c>
      <c r="F2" s="4" t="inlineStr">
        <is>
          <t>Piélou J</t>
        </is>
      </c>
      <c r="G2" s="4" t="inlineStr">
        <is>
          <t>Densité ind/ha</t>
        </is>
      </c>
      <c r="H2" s="4" t="inlineStr">
        <is>
          <t>ST m²/ha</t>
        </is>
      </c>
    </row>
    <row r="3">
      <c r="A3" s="5" t="inlineStr">
        <is>
          <t>Bibassa</t>
        </is>
      </c>
      <c r="B3" s="7" t="n">
        <v>141</v>
      </c>
      <c r="C3" s="7" t="n">
        <v>63</v>
      </c>
      <c r="D3" s="7" t="n">
        <v>3.579</v>
      </c>
      <c r="E3" s="7" t="n">
        <v>0.947</v>
      </c>
      <c r="F3" s="7" t="n">
        <v>0.864</v>
      </c>
      <c r="G3" s="7" t="n">
        <v>35.43</v>
      </c>
      <c r="H3" s="7" t="n">
        <v>5.05</v>
      </c>
    </row>
    <row r="4">
      <c r="A4" s="6" t="inlineStr">
        <is>
          <t>Ntié</t>
        </is>
      </c>
      <c r="B4" s="8" t="n">
        <v>495</v>
      </c>
      <c r="C4" s="8" t="n">
        <v>91</v>
      </c>
      <c r="D4" s="8" t="n">
        <v>3.482</v>
      </c>
      <c r="E4" s="8" t="n">
        <v>0.9409999999999999</v>
      </c>
      <c r="F4" s="8" t="n">
        <v>0.772</v>
      </c>
      <c r="G4" s="8" t="n">
        <v>68.28</v>
      </c>
      <c r="H4" s="8" t="n">
        <v>16.99</v>
      </c>
    </row>
    <row r="5">
      <c r="A5" s="5" t="inlineStr">
        <is>
          <t>Oshea</t>
        </is>
      </c>
      <c r="B5" s="7" t="n">
        <v>625</v>
      </c>
      <c r="C5" s="7" t="n">
        <v>77</v>
      </c>
      <c r="D5" s="7" t="n">
        <v>3.243</v>
      </c>
      <c r="E5" s="7" t="n">
        <v>0.928</v>
      </c>
      <c r="F5" s="7" t="n">
        <v>0.747</v>
      </c>
      <c r="G5" s="7" t="n">
        <v>34.04</v>
      </c>
      <c r="H5" s="7" t="n">
        <v>8.35</v>
      </c>
    </row>
    <row r="6">
      <c r="A6" s="6" t="inlineStr">
        <is>
          <t>Mekoul</t>
        </is>
      </c>
      <c r="B6" s="8" t="n">
        <v>1118</v>
      </c>
      <c r="C6" s="8" t="n">
        <v>108</v>
      </c>
      <c r="D6" s="8" t="n">
        <v>2.836</v>
      </c>
      <c r="E6" s="8" t="n">
        <v>0.828</v>
      </c>
      <c r="F6" s="8" t="n">
        <v>0.606</v>
      </c>
      <c r="G6" s="8" t="n">
        <v>30.3</v>
      </c>
      <c r="H6" s="8" t="n">
        <v>7.46</v>
      </c>
    </row>
    <row r="9">
      <c r="A9" s="3" t="inlineStr">
        <is>
          <t>Indices et structure par TUT</t>
        </is>
      </c>
    </row>
    <row r="10">
      <c r="A10" s="4" t="inlineStr">
        <is>
          <t>Agroforêt</t>
        </is>
      </c>
      <c r="B10" s="4" t="inlineStr">
        <is>
          <t>TUT</t>
        </is>
      </c>
      <c r="C10" s="4" t="inlineStr">
        <is>
          <t>N</t>
        </is>
      </c>
      <c r="D10" s="4" t="inlineStr">
        <is>
          <t>S</t>
        </is>
      </c>
      <c r="E10" s="4" t="inlineStr">
        <is>
          <t>H'</t>
        </is>
      </c>
      <c r="F10" s="4" t="inlineStr">
        <is>
          <t>Simpson</t>
        </is>
      </c>
      <c r="G10" s="4" t="inlineStr">
        <is>
          <t>Piélou</t>
        </is>
      </c>
      <c r="H10" s="4" t="inlineStr">
        <is>
          <t>Sup. ha</t>
        </is>
      </c>
      <c r="I10" s="4" t="inlineStr">
        <is>
          <t>Densité</t>
        </is>
      </c>
      <c r="J10" s="4" t="inlineStr">
        <is>
          <t>ST m²/ha</t>
        </is>
      </c>
    </row>
    <row r="11">
      <c r="A11" s="5" t="inlineStr">
        <is>
          <t>Bibassa</t>
        </is>
      </c>
      <c r="B11" s="5" t="inlineStr">
        <is>
          <t>Cacaoyère</t>
        </is>
      </c>
      <c r="C11" s="7" t="n">
        <v>86</v>
      </c>
      <c r="D11" s="7" t="n">
        <v>37</v>
      </c>
      <c r="E11" s="7" t="n">
        <v>3.085</v>
      </c>
      <c r="F11" s="7" t="n">
        <v>0.926</v>
      </c>
      <c r="G11" s="7" t="n">
        <v>0.854</v>
      </c>
      <c r="H11" s="7" t="n">
        <v>0.48</v>
      </c>
      <c r="I11" s="7" t="n">
        <v>179.2</v>
      </c>
      <c r="J11" s="7" t="n">
        <v>12.16</v>
      </c>
    </row>
    <row r="12">
      <c r="A12" s="6" t="inlineStr">
        <is>
          <t>Bibassa</t>
        </is>
      </c>
      <c r="B12" s="6" t="inlineStr">
        <is>
          <t>Champs vivriers</t>
        </is>
      </c>
      <c r="C12" s="8" t="n">
        <v>41</v>
      </c>
      <c r="D12" s="8" t="n">
        <v>29</v>
      </c>
      <c r="E12" s="8" t="n">
        <v>3.186</v>
      </c>
      <c r="F12" s="8" t="n">
        <v>0.947</v>
      </c>
      <c r="G12" s="8" t="n">
        <v>0.946</v>
      </c>
      <c r="H12" s="8" t="n">
        <v>2.3</v>
      </c>
      <c r="I12" s="8" t="n">
        <v>17.8</v>
      </c>
      <c r="J12" s="8" t="n">
        <v>4.85</v>
      </c>
    </row>
    <row r="13">
      <c r="A13" s="5" t="inlineStr">
        <is>
          <t>Bibassa</t>
        </is>
      </c>
      <c r="B13" s="5" t="inlineStr">
        <is>
          <t>Jachère</t>
        </is>
      </c>
      <c r="C13" s="7" t="n">
        <v>14</v>
      </c>
      <c r="D13" s="7" t="n">
        <v>8</v>
      </c>
      <c r="E13" s="7" t="n">
        <v>1.772</v>
      </c>
      <c r="F13" s="7" t="n">
        <v>0.765</v>
      </c>
      <c r="G13" s="7" t="n">
        <v>0.852</v>
      </c>
      <c r="H13" s="7" t="n">
        <v>1.14</v>
      </c>
      <c r="I13" s="7" t="n">
        <v>12.3</v>
      </c>
      <c r="J13" s="7" t="n">
        <v>2.74</v>
      </c>
    </row>
    <row r="14">
      <c r="A14" s="6" t="inlineStr">
        <is>
          <t>Mekoul</t>
        </is>
      </c>
      <c r="B14" s="6" t="inlineStr">
        <is>
          <t>Cacaoyère</t>
        </is>
      </c>
      <c r="C14" s="8" t="n">
        <v>657</v>
      </c>
      <c r="D14" s="8" t="n">
        <v>63</v>
      </c>
      <c r="E14" s="8" t="n">
        <v>2.472</v>
      </c>
      <c r="F14" s="8" t="n">
        <v>0.785</v>
      </c>
      <c r="G14" s="8" t="n">
        <v>0.597</v>
      </c>
      <c r="H14" s="8" t="n">
        <v>12.04</v>
      </c>
      <c r="I14" s="8" t="n">
        <v>54.6</v>
      </c>
      <c r="J14" s="8" t="n">
        <v>10.31</v>
      </c>
    </row>
    <row r="15">
      <c r="A15" s="5" t="inlineStr">
        <is>
          <t>Mekoul</t>
        </is>
      </c>
      <c r="B15" s="5" t="inlineStr">
        <is>
          <t>Champs vivriers</t>
        </is>
      </c>
      <c r="C15" s="7" t="n">
        <v>139</v>
      </c>
      <c r="D15" s="7" t="n">
        <v>44</v>
      </c>
      <c r="E15" s="7" t="n">
        <v>3.179</v>
      </c>
      <c r="F15" s="7" t="n">
        <v>0.9330000000000001</v>
      </c>
      <c r="G15" s="7" t="n">
        <v>0.84</v>
      </c>
      <c r="H15" s="7" t="n">
        <v>10.1</v>
      </c>
      <c r="I15" s="7" t="n">
        <v>13.8</v>
      </c>
      <c r="J15" s="7" t="n">
        <v>9.390000000000001</v>
      </c>
    </row>
    <row r="16">
      <c r="A16" s="6" t="inlineStr">
        <is>
          <t>Mekoul</t>
        </is>
      </c>
      <c r="B16" s="6" t="inlineStr">
        <is>
          <t>Jachère</t>
        </is>
      </c>
      <c r="C16" s="8" t="n">
        <v>322</v>
      </c>
      <c r="D16" s="8" t="n">
        <v>52</v>
      </c>
      <c r="E16" s="8" t="n">
        <v>2.543</v>
      </c>
      <c r="F16" s="8" t="n">
        <v>0.782</v>
      </c>
      <c r="G16" s="8" t="n">
        <v>0.644</v>
      </c>
      <c r="H16" s="8" t="n">
        <v>14.61</v>
      </c>
      <c r="I16" s="8" t="n">
        <v>22</v>
      </c>
      <c r="J16" s="8" t="n">
        <v>3.87</v>
      </c>
    </row>
    <row r="17">
      <c r="A17" s="5" t="inlineStr">
        <is>
          <t>Ntié</t>
        </is>
      </c>
      <c r="B17" s="5" t="inlineStr">
        <is>
          <t>Cacaoyère</t>
        </is>
      </c>
      <c r="C17" s="7" t="n">
        <v>89</v>
      </c>
      <c r="D17" s="7" t="n">
        <v>33</v>
      </c>
      <c r="E17" s="7" t="n">
        <v>3.014</v>
      </c>
      <c r="F17" s="7" t="n">
        <v>0.925</v>
      </c>
      <c r="G17" s="7" t="n">
        <v>0.862</v>
      </c>
      <c r="H17" s="7" t="n">
        <v>2.16</v>
      </c>
      <c r="I17" s="7" t="n">
        <v>41.2</v>
      </c>
      <c r="J17" s="7" t="n">
        <v>13.44</v>
      </c>
    </row>
    <row r="18">
      <c r="A18" s="6" t="inlineStr">
        <is>
          <t>Ntié</t>
        </is>
      </c>
      <c r="B18" s="6" t="inlineStr">
        <is>
          <t>Champs vivriers</t>
        </is>
      </c>
      <c r="C18" s="8" t="n">
        <v>33</v>
      </c>
      <c r="D18" s="8" t="n">
        <v>17</v>
      </c>
      <c r="E18" s="8" t="n">
        <v>2.557</v>
      </c>
      <c r="F18" s="8" t="n">
        <v>0.9</v>
      </c>
      <c r="G18" s="8" t="n">
        <v>0.903</v>
      </c>
      <c r="H18" s="8" t="n">
        <v>0.97</v>
      </c>
      <c r="I18" s="8" t="n">
        <v>34</v>
      </c>
      <c r="J18" s="8" t="n">
        <v>3.47</v>
      </c>
    </row>
    <row r="19">
      <c r="A19" s="5" t="inlineStr">
        <is>
          <t>Ntié</t>
        </is>
      </c>
      <c r="B19" s="5" t="inlineStr">
        <is>
          <t>Extension de cacao</t>
        </is>
      </c>
      <c r="C19" s="7" t="n">
        <v>42</v>
      </c>
      <c r="D19" s="7" t="n">
        <v>23</v>
      </c>
      <c r="E19" s="7" t="n">
        <v>2.775</v>
      </c>
      <c r="F19" s="7" t="n">
        <v>0.905</v>
      </c>
      <c r="G19" s="7" t="n">
        <v>0.885</v>
      </c>
      <c r="H19" s="7" t="n">
        <v>0.38</v>
      </c>
      <c r="I19" s="7" t="n">
        <v>110.5</v>
      </c>
      <c r="J19" s="7" t="n">
        <v>31.39</v>
      </c>
    </row>
    <row r="20">
      <c r="A20" s="6" t="inlineStr">
        <is>
          <t>Ntié</t>
        </is>
      </c>
      <c r="B20" s="6" t="inlineStr">
        <is>
          <t>Jachère</t>
        </is>
      </c>
      <c r="C20" s="8" t="n">
        <v>331</v>
      </c>
      <c r="D20" s="8" t="n">
        <v>62</v>
      </c>
      <c r="E20" s="8" t="n">
        <v>3.191</v>
      </c>
      <c r="F20" s="8" t="n">
        <v>0.925</v>
      </c>
      <c r="G20" s="8" t="n">
        <v>0.773</v>
      </c>
      <c r="H20" s="8" t="n">
        <v>3.42</v>
      </c>
      <c r="I20" s="8" t="n">
        <v>96.8</v>
      </c>
      <c r="J20" s="8" t="n">
        <v>23.05</v>
      </c>
    </row>
    <row r="21">
      <c r="A21" s="5" t="inlineStr">
        <is>
          <t>Oshea</t>
        </is>
      </c>
      <c r="B21" s="5" t="inlineStr">
        <is>
          <t>Cacaoyère</t>
        </is>
      </c>
      <c r="C21" s="7" t="n">
        <v>261</v>
      </c>
      <c r="D21" s="7" t="n">
        <v>46</v>
      </c>
      <c r="E21" s="7" t="n">
        <v>2.968</v>
      </c>
      <c r="F21" s="7" t="n">
        <v>0.913</v>
      </c>
      <c r="G21" s="7" t="n">
        <v>0.775</v>
      </c>
      <c r="H21" s="7" t="n">
        <v>4.98</v>
      </c>
      <c r="I21" s="7" t="n">
        <v>52.4</v>
      </c>
      <c r="J21" s="7" t="n">
        <v>7.94</v>
      </c>
    </row>
    <row r="22">
      <c r="A22" s="6" t="inlineStr">
        <is>
          <t>Oshea</t>
        </is>
      </c>
      <c r="B22" s="6" t="inlineStr">
        <is>
          <t>Champs vivriers</t>
        </is>
      </c>
      <c r="C22" s="8" t="n">
        <v>18</v>
      </c>
      <c r="D22" s="8" t="n">
        <v>8</v>
      </c>
      <c r="E22" s="8" t="n">
        <v>1.658</v>
      </c>
      <c r="F22" s="8" t="n">
        <v>0.735</v>
      </c>
      <c r="G22" s="8" t="n">
        <v>0.797</v>
      </c>
      <c r="H22" s="8" t="n">
        <v>1.73</v>
      </c>
      <c r="I22" s="8" t="n">
        <v>10.4</v>
      </c>
      <c r="J22" s="8" t="n">
        <v>4.52</v>
      </c>
    </row>
    <row r="23">
      <c r="A23" s="5" t="inlineStr">
        <is>
          <t>Oshea</t>
        </is>
      </c>
      <c r="B23" s="5" t="inlineStr">
        <is>
          <t>Extension de cacao</t>
        </is>
      </c>
      <c r="C23" s="7" t="n">
        <v>128</v>
      </c>
      <c r="D23" s="7" t="n">
        <v>31</v>
      </c>
      <c r="E23" s="7" t="n">
        <v>2.976</v>
      </c>
      <c r="F23" s="7" t="n">
        <v>0.927</v>
      </c>
      <c r="G23" s="7" t="n">
        <v>0.867</v>
      </c>
      <c r="H23" s="7" t="n">
        <v>3.12</v>
      </c>
      <c r="I23" s="7" t="n">
        <v>41</v>
      </c>
      <c r="J23" s="7" t="n">
        <v>16.38</v>
      </c>
    </row>
    <row r="24">
      <c r="A24" s="6" t="inlineStr">
        <is>
          <t>Oshea</t>
        </is>
      </c>
      <c r="B24" s="6" t="inlineStr">
        <is>
          <t>Jachère</t>
        </is>
      </c>
      <c r="C24" s="8" t="n">
        <v>218</v>
      </c>
      <c r="D24" s="8" t="n">
        <v>35</v>
      </c>
      <c r="E24" s="8" t="n">
        <v>2.391</v>
      </c>
      <c r="F24" s="8" t="n">
        <v>0.8129999999999999</v>
      </c>
      <c r="G24" s="8" t="n">
        <v>0.673</v>
      </c>
      <c r="H24" s="8" t="n">
        <v>7.53</v>
      </c>
      <c r="I24" s="8" t="n">
        <v>29</v>
      </c>
      <c r="J24" s="8" t="n">
        <v>7.29</v>
      </c>
    </row>
    <row r="27">
      <c r="A27" s="3" t="inlineStr">
        <is>
          <t>Espèces dominantes (top 10)</t>
        </is>
      </c>
    </row>
    <row r="28">
      <c r="A28" s="4" t="inlineStr">
        <is>
          <t>Espèce</t>
        </is>
      </c>
      <c r="B28" s="4" t="inlineStr">
        <is>
          <t>Individus</t>
        </is>
      </c>
      <c r="C28" s="4" t="inlineStr">
        <is>
          <t>AR (%)</t>
        </is>
      </c>
    </row>
    <row r="29">
      <c r="A29" s="5" t="inlineStr">
        <is>
          <t>Musanga cecropioides</t>
        </is>
      </c>
      <c r="B29" s="7" t="n">
        <v>618</v>
      </c>
      <c r="C29" s="7" t="n">
        <v>25.98</v>
      </c>
    </row>
    <row r="30">
      <c r="A30" s="6" t="inlineStr">
        <is>
          <t>Terminalia superba</t>
        </is>
      </c>
      <c r="B30" s="8" t="n">
        <v>221</v>
      </c>
      <c r="C30" s="8" t="n">
        <v>9.289999999999999</v>
      </c>
    </row>
    <row r="31">
      <c r="A31" s="5" t="inlineStr">
        <is>
          <t>Ricinodendron heudelotii</t>
        </is>
      </c>
      <c r="B31" s="7" t="n">
        <v>142</v>
      </c>
      <c r="C31" s="7" t="n">
        <v>5.97</v>
      </c>
    </row>
    <row r="32">
      <c r="A32" s="6" t="inlineStr">
        <is>
          <t>Pentaclethra macrophylla</t>
        </is>
      </c>
      <c r="B32" s="8" t="n">
        <v>139</v>
      </c>
      <c r="C32" s="8" t="n">
        <v>5.84</v>
      </c>
    </row>
    <row r="33">
      <c r="A33" s="5" t="inlineStr">
        <is>
          <t>Ficus exasperata</t>
        </is>
      </c>
      <c r="B33" s="7" t="n">
        <v>116</v>
      </c>
      <c r="C33" s="7" t="n">
        <v>4.88</v>
      </c>
    </row>
    <row r="34">
      <c r="A34" s="6" t="inlineStr">
        <is>
          <t>Petersianthus macrocarpus</t>
        </is>
      </c>
      <c r="B34" s="8" t="n">
        <v>85</v>
      </c>
      <c r="C34" s="8" t="n">
        <v>3.57</v>
      </c>
    </row>
    <row r="35">
      <c r="A35" s="5" t="inlineStr">
        <is>
          <t>Pycnanthus angolensis</t>
        </is>
      </c>
      <c r="B35" s="7" t="n">
        <v>72</v>
      </c>
      <c r="C35" s="7" t="n">
        <v>3.03</v>
      </c>
    </row>
    <row r="36">
      <c r="A36" s="6" t="inlineStr">
        <is>
          <t>Bridelia speciosa</t>
        </is>
      </c>
      <c r="B36" s="8" t="n">
        <v>54</v>
      </c>
      <c r="C36" s="8" t="n">
        <v>2.27</v>
      </c>
    </row>
    <row r="37">
      <c r="A37" s="5" t="inlineStr">
        <is>
          <t>Baillonella toxisperma</t>
        </is>
      </c>
      <c r="B37" s="7" t="n">
        <v>48</v>
      </c>
      <c r="C37" s="7" t="n">
        <v>2.02</v>
      </c>
    </row>
    <row r="38">
      <c r="A38" s="6" t="inlineStr">
        <is>
          <t>esp1</t>
        </is>
      </c>
      <c r="B38" s="8" t="n">
        <v>47</v>
      </c>
      <c r="C38" s="8" t="n">
        <v>1.98</v>
      </c>
    </row>
    <row r="41">
      <c r="A41" s="3" t="inlineStr">
        <is>
          <t>Familles dominantes</t>
        </is>
      </c>
    </row>
    <row r="42">
      <c r="A42" s="4" t="inlineStr">
        <is>
          <t>Famille</t>
        </is>
      </c>
      <c r="B42" s="4" t="inlineStr">
        <is>
          <t>Individus</t>
        </is>
      </c>
      <c r="C42" s="4" t="inlineStr">
        <is>
          <t>AR (%)</t>
        </is>
      </c>
    </row>
    <row r="43">
      <c r="A43" s="5" t="inlineStr">
        <is>
          <t>Urticaceae</t>
        </is>
      </c>
      <c r="B43" s="7" t="n">
        <v>619</v>
      </c>
      <c r="C43" s="7" t="n">
        <v>26.02</v>
      </c>
    </row>
    <row r="44">
      <c r="A44" s="6" t="inlineStr">
        <is>
          <t>Fabaceae</t>
        </is>
      </c>
      <c r="B44" s="8" t="n">
        <v>292</v>
      </c>
      <c r="C44" s="8" t="n">
        <v>12.27</v>
      </c>
    </row>
    <row r="45">
      <c r="A45" s="5" t="inlineStr">
        <is>
          <t>Combretaceae</t>
        </is>
      </c>
      <c r="B45" s="7" t="n">
        <v>222</v>
      </c>
      <c r="C45" s="7" t="n">
        <v>9.33</v>
      </c>
    </row>
    <row r="46">
      <c r="A46" s="6" t="inlineStr">
        <is>
          <t>Moraceae</t>
        </is>
      </c>
      <c r="B46" s="8" t="n">
        <v>173</v>
      </c>
      <c r="C46" s="8" t="n">
        <v>7.27</v>
      </c>
    </row>
    <row r="47">
      <c r="A47" s="5" t="inlineStr">
        <is>
          <t>Euphorbiaceae</t>
        </is>
      </c>
      <c r="B47" s="7" t="n">
        <v>144</v>
      </c>
      <c r="C47" s="7" t="n">
        <v>6.05</v>
      </c>
    </row>
    <row r="48">
      <c r="A48" s="6" t="inlineStr">
        <is>
          <t>Apocynaceae</t>
        </is>
      </c>
      <c r="B48" s="8" t="n">
        <v>90</v>
      </c>
      <c r="C48" s="8" t="n">
        <v>3.78</v>
      </c>
    </row>
    <row r="49">
      <c r="A49" s="5" t="inlineStr">
        <is>
          <t>Capparaceae</t>
        </is>
      </c>
      <c r="B49" s="7" t="n">
        <v>85</v>
      </c>
      <c r="C49" s="7" t="n">
        <v>3.57</v>
      </c>
    </row>
    <row r="50">
      <c r="A50" s="6" t="inlineStr">
        <is>
          <t>Sapotaceae</t>
        </is>
      </c>
      <c r="B50" s="8" t="n">
        <v>75</v>
      </c>
      <c r="C50" s="8" t="n">
        <v>3.15</v>
      </c>
    </row>
    <row r="51">
      <c r="A51" s="5" t="inlineStr">
        <is>
          <t>Myristicaceae</t>
        </is>
      </c>
      <c r="B51" s="7" t="n">
        <v>71</v>
      </c>
      <c r="C51" s="7" t="n">
        <v>2.98</v>
      </c>
    </row>
    <row r="52">
      <c r="A52" s="6" t="inlineStr">
        <is>
          <t>Phyllantaceae</t>
        </is>
      </c>
      <c r="B52" s="8" t="n">
        <v>69</v>
      </c>
      <c r="C52" s="8" t="n">
        <v>2.9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3" t="inlineStr">
        <is>
          <t>Matrice de similarité de Sørensen (%)</t>
        </is>
      </c>
    </row>
    <row r="2">
      <c r="A2" s="4" t="inlineStr">
        <is>
          <t>Agroforêt</t>
        </is>
      </c>
      <c r="B2" s="4" t="inlineStr">
        <is>
          <t>Bibassa</t>
        </is>
      </c>
      <c r="C2" s="4" t="inlineStr">
        <is>
          <t>Ntié</t>
        </is>
      </c>
      <c r="D2" s="4" t="inlineStr">
        <is>
          <t>Oshea</t>
        </is>
      </c>
      <c r="E2" s="4" t="inlineStr">
        <is>
          <t>Mekoul</t>
        </is>
      </c>
    </row>
    <row r="3">
      <c r="A3" s="5" t="inlineStr">
        <is>
          <t>Bibassa</t>
        </is>
      </c>
      <c r="B3" s="7" t="n">
        <v>100</v>
      </c>
      <c r="C3" s="7" t="n">
        <v>27.3</v>
      </c>
      <c r="D3" s="7" t="n">
        <v>30</v>
      </c>
      <c r="E3" s="7" t="n">
        <v>23.4</v>
      </c>
    </row>
    <row r="4">
      <c r="A4" s="6" t="inlineStr">
        <is>
          <t>Ntié</t>
        </is>
      </c>
      <c r="B4" s="8" t="n">
        <v>27.3</v>
      </c>
      <c r="C4" s="8" t="n">
        <v>100</v>
      </c>
      <c r="D4" s="8" t="n">
        <v>40.5</v>
      </c>
      <c r="E4" s="8" t="n">
        <v>31.2</v>
      </c>
    </row>
    <row r="5">
      <c r="A5" s="5" t="inlineStr">
        <is>
          <t>Oshea</t>
        </is>
      </c>
      <c r="B5" s="7" t="n">
        <v>30</v>
      </c>
      <c r="C5" s="7" t="n">
        <v>40.5</v>
      </c>
      <c r="D5" s="7" t="n">
        <v>100</v>
      </c>
      <c r="E5" s="7" t="n">
        <v>40</v>
      </c>
    </row>
    <row r="6">
      <c r="A6" s="6" t="inlineStr">
        <is>
          <t>Mekoul</t>
        </is>
      </c>
      <c r="B6" s="8" t="n">
        <v>23.4</v>
      </c>
      <c r="C6" s="8" t="n">
        <v>31.2</v>
      </c>
      <c r="D6" s="8" t="n">
        <v>40</v>
      </c>
      <c r="E6" s="8" t="n">
        <v>100</v>
      </c>
    </row>
    <row r="9">
      <c r="A9" s="3" t="inlineStr">
        <is>
          <t>Distribution par classe de diamètre (%)</t>
        </is>
      </c>
    </row>
    <row r="10">
      <c r="A10" s="4" t="inlineStr">
        <is>
          <t>Classe DHP (cm)</t>
        </is>
      </c>
      <c r="B10" s="4" t="inlineStr">
        <is>
          <t>Bibassa</t>
        </is>
      </c>
      <c r="C10" s="4" t="inlineStr">
        <is>
          <t>Ntié</t>
        </is>
      </c>
      <c r="D10" s="4" t="inlineStr">
        <is>
          <t>Oshea</t>
        </is>
      </c>
      <c r="E10" s="4" t="inlineStr">
        <is>
          <t>Mekoul</t>
        </is>
      </c>
    </row>
    <row r="11">
      <c r="A11" s="5" t="inlineStr">
        <is>
          <t>[10;20[</t>
        </is>
      </c>
      <c r="B11" s="7" t="n">
        <v>29.1</v>
      </c>
      <c r="C11" s="7" t="n">
        <v>30.1</v>
      </c>
      <c r="D11" s="7" t="n">
        <v>24.5</v>
      </c>
      <c r="E11" s="7" t="n">
        <v>25</v>
      </c>
    </row>
    <row r="12">
      <c r="A12" s="6" t="inlineStr">
        <is>
          <t>[20;30[</t>
        </is>
      </c>
      <c r="B12" s="8" t="n">
        <v>24.1</v>
      </c>
      <c r="C12" s="8" t="n">
        <v>17.8</v>
      </c>
      <c r="D12" s="8" t="n">
        <v>25.3</v>
      </c>
      <c r="E12" s="8" t="n">
        <v>21.9</v>
      </c>
    </row>
    <row r="13">
      <c r="A13" s="5" t="inlineStr">
        <is>
          <t>[30;40[</t>
        </is>
      </c>
      <c r="B13" s="7" t="n">
        <v>18.4</v>
      </c>
      <c r="C13" s="7" t="n">
        <v>11.1</v>
      </c>
      <c r="D13" s="7" t="n">
        <v>12</v>
      </c>
      <c r="E13" s="7" t="n">
        <v>14</v>
      </c>
    </row>
    <row r="14">
      <c r="A14" s="6" t="inlineStr">
        <is>
          <t>[40;50[</t>
        </is>
      </c>
      <c r="B14" s="8" t="n">
        <v>12.1</v>
      </c>
      <c r="C14" s="8" t="n">
        <v>7.3</v>
      </c>
      <c r="D14" s="8" t="n">
        <v>7.5</v>
      </c>
      <c r="E14" s="8" t="n">
        <v>12</v>
      </c>
    </row>
    <row r="15">
      <c r="A15" s="5" t="inlineStr">
        <is>
          <t>[50;60[</t>
        </is>
      </c>
      <c r="B15" s="7" t="n">
        <v>4.3</v>
      </c>
      <c r="C15" s="7" t="n">
        <v>6.7</v>
      </c>
      <c r="D15" s="7" t="n">
        <v>7.4</v>
      </c>
      <c r="E15" s="7" t="n">
        <v>6.5</v>
      </c>
    </row>
    <row r="16">
      <c r="A16" s="6" t="inlineStr">
        <is>
          <t>[60;70[</t>
        </is>
      </c>
      <c r="B16" s="8" t="n">
        <v>2.1</v>
      </c>
      <c r="C16" s="8" t="n">
        <v>7.7</v>
      </c>
      <c r="D16" s="8" t="n">
        <v>6.9</v>
      </c>
      <c r="E16" s="8" t="n">
        <v>5.1</v>
      </c>
    </row>
    <row r="17">
      <c r="A17" s="5" t="inlineStr">
        <is>
          <t>[70;80[</t>
        </is>
      </c>
      <c r="B17" s="7" t="n">
        <v>2.8</v>
      </c>
      <c r="C17" s="7" t="n">
        <v>5.3</v>
      </c>
      <c r="D17" s="7" t="n">
        <v>4.3</v>
      </c>
      <c r="E17" s="7" t="n">
        <v>3.7</v>
      </c>
    </row>
    <row r="18">
      <c r="A18" s="6" t="inlineStr">
        <is>
          <t>[80;90[</t>
        </is>
      </c>
      <c r="B18" s="8" t="n">
        <v>2.8</v>
      </c>
      <c r="C18" s="8" t="n">
        <v>3.8</v>
      </c>
      <c r="D18" s="8" t="n">
        <v>2.6</v>
      </c>
      <c r="E18" s="8" t="n">
        <v>1.9</v>
      </c>
    </row>
    <row r="19">
      <c r="A19" s="5" t="inlineStr">
        <is>
          <t>[90;100[</t>
        </is>
      </c>
      <c r="B19" s="7" t="n">
        <v>2.1</v>
      </c>
      <c r="C19" s="7" t="n">
        <v>3.6</v>
      </c>
      <c r="D19" s="7" t="n">
        <v>3.5</v>
      </c>
      <c r="E19" s="7" t="n">
        <v>2</v>
      </c>
    </row>
    <row r="20">
      <c r="A20" s="6" t="inlineStr">
        <is>
          <t>≥100</t>
        </is>
      </c>
      <c r="B20" s="8" t="n">
        <v>2.1</v>
      </c>
      <c r="C20" s="8" t="n">
        <v>6.7</v>
      </c>
      <c r="D20" s="8" t="n">
        <v>6.1</v>
      </c>
      <c r="E20" s="8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3" t="inlineStr">
        <is>
          <t>Contraintes par maillon (n=50)</t>
        </is>
      </c>
    </row>
    <row r="2">
      <c r="A2" s="4" t="inlineStr">
        <is>
          <t>Maillon</t>
        </is>
      </c>
      <c r="B2" s="4" t="inlineStr">
        <is>
          <t>Effectif</t>
        </is>
      </c>
      <c r="C2" s="4" t="inlineStr">
        <is>
          <t>%</t>
        </is>
      </c>
    </row>
    <row r="3">
      <c r="A3" s="5" t="inlineStr">
        <is>
          <t>Collecte</t>
        </is>
      </c>
      <c r="B3" s="7" t="n">
        <v>25</v>
      </c>
      <c r="C3" s="7" t="n">
        <v>50</v>
      </c>
    </row>
    <row r="4">
      <c r="A4" s="6" t="inlineStr">
        <is>
          <t>Vente/Prix</t>
        </is>
      </c>
      <c r="B4" s="8" t="n">
        <v>20</v>
      </c>
      <c r="C4" s="8" t="n">
        <v>40</v>
      </c>
    </row>
    <row r="5">
      <c r="A5" s="5" t="inlineStr">
        <is>
          <t>Transport</t>
        </is>
      </c>
      <c r="B5" s="7" t="n">
        <v>14</v>
      </c>
      <c r="C5" s="7" t="n">
        <v>28</v>
      </c>
    </row>
    <row r="6">
      <c r="A6" s="6" t="inlineStr">
        <is>
          <t>Production</t>
        </is>
      </c>
      <c r="B6" s="8" t="n">
        <v>10</v>
      </c>
      <c r="C6" s="8" t="n">
        <v>20</v>
      </c>
    </row>
    <row r="9">
      <c r="A9" s="3" t="inlineStr">
        <is>
          <t>Difficultés spécifiques</t>
        </is>
      </c>
    </row>
    <row r="10">
      <c r="A10" s="4" t="inlineStr">
        <is>
          <t>Difficulté spécifique</t>
        </is>
      </c>
      <c r="B10" s="4" t="inlineStr">
        <is>
          <t>Effectif</t>
        </is>
      </c>
      <c r="C10" s="4" t="inlineStr">
        <is>
          <t>%</t>
        </is>
      </c>
    </row>
    <row r="11">
      <c r="A11" s="5" t="inlineStr">
        <is>
          <t>Variabilité des prix</t>
        </is>
      </c>
      <c r="B11" s="7" t="n">
        <v>13</v>
      </c>
      <c r="C11" s="7" t="n">
        <v>26</v>
      </c>
    </row>
    <row r="12">
      <c r="A12" s="6" t="inlineStr">
        <is>
          <t>Manque/coût de moyen de transport</t>
        </is>
      </c>
      <c r="B12" s="8" t="n">
        <v>12</v>
      </c>
      <c r="C12" s="8" t="n">
        <v>24</v>
      </c>
    </row>
    <row r="13">
      <c r="A13" s="5" t="inlineStr">
        <is>
          <t>Saison sans PFNL (saisonnalité)</t>
        </is>
      </c>
      <c r="B13" s="7" t="n">
        <v>10</v>
      </c>
      <c r="C13" s="7" t="n">
        <v>20</v>
      </c>
    </row>
    <row r="14">
      <c r="A14" s="6" t="inlineStr">
        <is>
          <t>Manque d'acheteurs / retard ventes groupées</t>
        </is>
      </c>
      <c r="B14" s="8" t="n">
        <v>10</v>
      </c>
      <c r="C14" s="8" t="n">
        <v>20</v>
      </c>
    </row>
    <row r="15">
      <c r="A15" s="5" t="inlineStr">
        <is>
          <t>Problème de ration alimentaire</t>
        </is>
      </c>
      <c r="B15" s="7" t="n">
        <v>9</v>
      </c>
      <c r="C15" s="7" t="n">
        <v>18</v>
      </c>
    </row>
    <row r="16">
      <c r="A16" s="6" t="inlineStr">
        <is>
          <t>Zones de collecte éloignées / marche à pied</t>
        </is>
      </c>
      <c r="B16" s="8" t="n">
        <v>7</v>
      </c>
      <c r="C16" s="8" t="n">
        <v>14</v>
      </c>
    </row>
    <row r="17">
      <c r="A17" s="5" t="inlineStr">
        <is>
          <t>Insécurité en forêt</t>
        </is>
      </c>
      <c r="B17" s="7" t="n">
        <v>6</v>
      </c>
      <c r="C17" s="7" t="n">
        <v>12</v>
      </c>
    </row>
    <row r="18">
      <c r="A18" s="6" t="inlineStr">
        <is>
          <t>Pas de matériel de collecte</t>
        </is>
      </c>
      <c r="B18" s="8" t="n">
        <v>6</v>
      </c>
      <c r="C18" s="8" t="n">
        <v>12</v>
      </c>
    </row>
    <row r="19">
      <c r="A19" s="5" t="inlineStr">
        <is>
          <t>Pluies en forêt</t>
        </is>
      </c>
      <c r="B19" s="7" t="n">
        <v>4</v>
      </c>
      <c r="C19" s="7" t="n">
        <v>8</v>
      </c>
    </row>
    <row r="20">
      <c r="A20" s="6" t="inlineStr">
        <is>
          <t>Vol des produits</t>
        </is>
      </c>
      <c r="B20" s="8" t="n">
        <v>3</v>
      </c>
      <c r="C20" s="8" t="n">
        <v>6</v>
      </c>
    </row>
    <row r="21">
      <c r="A21" s="5" t="inlineStr">
        <is>
          <t>Maladies</t>
        </is>
      </c>
      <c r="B21" s="7" t="n">
        <v>3</v>
      </c>
      <c r="C21" s="7" t="n">
        <v>6</v>
      </c>
    </row>
    <row r="22">
      <c r="A22" s="6" t="inlineStr">
        <is>
          <t>Escroquerie</t>
        </is>
      </c>
      <c r="B22" s="8" t="n">
        <v>1</v>
      </c>
      <c r="C22" s="8" t="n">
        <v>2</v>
      </c>
    </row>
    <row r="25">
      <c r="A25" s="3" t="inlineStr">
        <is>
          <t>Utilisations des revenus PFNL</t>
        </is>
      </c>
    </row>
    <row r="26">
      <c r="A26" s="4" t="inlineStr">
        <is>
          <t>Utilisation des revenus</t>
        </is>
      </c>
      <c r="B26" s="4" t="inlineStr">
        <is>
          <t>Effectif</t>
        </is>
      </c>
      <c r="C26" s="4" t="inlineStr">
        <is>
          <t>%</t>
        </is>
      </c>
    </row>
    <row r="27">
      <c r="A27" s="5" t="inlineStr">
        <is>
          <t>Scolarité des enfants</t>
        </is>
      </c>
      <c r="B27" s="7" t="n">
        <v>48</v>
      </c>
      <c r="C27" s="7" t="n">
        <v>96</v>
      </c>
    </row>
    <row r="28">
      <c r="A28" s="6" t="inlineStr">
        <is>
          <t>Ration alimentaire</t>
        </is>
      </c>
      <c r="B28" s="8" t="n">
        <v>24</v>
      </c>
      <c r="C28" s="8" t="n">
        <v>48</v>
      </c>
    </row>
    <row r="29">
      <c r="A29" s="5" t="inlineStr">
        <is>
          <t>Santé</t>
        </is>
      </c>
      <c r="B29" s="7" t="n">
        <v>12</v>
      </c>
      <c r="C29" s="7" t="n">
        <v>24</v>
      </c>
    </row>
    <row r="30">
      <c r="A30" s="6" t="inlineStr">
        <is>
          <t>Projets</t>
        </is>
      </c>
      <c r="B30" s="8" t="n">
        <v>4</v>
      </c>
      <c r="C30" s="8" t="n">
        <v>8</v>
      </c>
    </row>
    <row r="31">
      <c r="A31" s="5" t="inlineStr">
        <is>
          <t>Main d'œuvre pour les champs</t>
        </is>
      </c>
      <c r="B31" s="7" t="n">
        <v>4</v>
      </c>
      <c r="C31" s="7" t="n">
        <v>8</v>
      </c>
    </row>
    <row r="32">
      <c r="A32" s="6" t="inlineStr">
        <is>
          <t>Ustensiles de cuisine</t>
        </is>
      </c>
      <c r="B32" s="8" t="n">
        <v>2</v>
      </c>
      <c r="C32" s="8" t="n">
        <v>4</v>
      </c>
    </row>
    <row r="33">
      <c r="A33" s="5" t="inlineStr">
        <is>
          <t>Fond de commerce</t>
        </is>
      </c>
      <c r="B33" s="7" t="n">
        <v>2</v>
      </c>
      <c r="C33" s="7" t="n">
        <v>4</v>
      </c>
    </row>
    <row r="34">
      <c r="A34" s="6" t="inlineStr">
        <is>
          <t>Tontines</t>
        </is>
      </c>
      <c r="B34" s="8" t="n">
        <v>1</v>
      </c>
      <c r="C34" s="8" t="n">
        <v>2</v>
      </c>
    </row>
    <row r="35">
      <c r="A35" s="5" t="inlineStr">
        <is>
          <t>Dettes</t>
        </is>
      </c>
      <c r="B35" s="7" t="n">
        <v>1</v>
      </c>
      <c r="C35" s="7" t="n">
        <v>2</v>
      </c>
    </row>
    <row r="38">
      <c r="A38" s="3" t="inlineStr">
        <is>
          <t>Lieux de collecte</t>
        </is>
      </c>
    </row>
    <row r="39">
      <c r="A39" s="4" t="inlineStr">
        <is>
          <t>Lieu de collecte</t>
        </is>
      </c>
      <c r="B39" s="4" t="inlineStr">
        <is>
          <t>Effectif</t>
        </is>
      </c>
      <c r="C39" s="4" t="inlineStr">
        <is>
          <t>%</t>
        </is>
      </c>
    </row>
    <row r="40">
      <c r="A40" s="6" t="inlineStr">
        <is>
          <t>Forêt</t>
        </is>
      </c>
      <c r="B40" s="8" t="n">
        <v>22</v>
      </c>
      <c r="C40" s="8" t="n">
        <v>44</v>
      </c>
    </row>
    <row r="41">
      <c r="A41" s="5" t="inlineStr">
        <is>
          <t>Village et Forêt</t>
        </is>
      </c>
      <c r="B41" s="7" t="n">
        <v>21</v>
      </c>
      <c r="C41" s="7" t="n">
        <v>42</v>
      </c>
    </row>
    <row r="42">
      <c r="A42" s="6" t="inlineStr">
        <is>
          <t>Village</t>
        </is>
      </c>
      <c r="B42" s="8" t="n">
        <v>7</v>
      </c>
      <c r="C42" s="8" t="n">
        <v>14</v>
      </c>
    </row>
    <row r="45">
      <c r="A45" s="3" t="inlineStr">
        <is>
          <t>Zones de collecte en forêt</t>
        </is>
      </c>
    </row>
    <row r="46">
      <c r="A46" s="4" t="inlineStr">
        <is>
          <t>Zone en forêt</t>
        </is>
      </c>
      <c r="B46" s="4" t="inlineStr">
        <is>
          <t>Mentions</t>
        </is>
      </c>
    </row>
    <row r="47">
      <c r="A47" s="5" t="inlineStr">
        <is>
          <t>UFA</t>
        </is>
      </c>
      <c r="B47" s="7" t="n">
        <v>25</v>
      </c>
    </row>
    <row r="48">
      <c r="A48" s="6" t="inlineStr">
        <is>
          <t>Forêt non attribuée</t>
        </is>
      </c>
      <c r="B48" s="8" t="n">
        <v>9</v>
      </c>
    </row>
    <row r="49">
      <c r="A49" s="5" t="inlineStr">
        <is>
          <t>Forêt communautaire</t>
        </is>
      </c>
      <c r="B49" s="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2026-07-06T02:26:22Z</dcterms:created>
  <dcterms:modified xmlns:dcterms="http://purl.org/dc/terms/" xmlns:xsi="http://www.w3.org/2001/XMLSchema-instance" xsi:type="dcterms:W3CDTF">2026-07-06T02:26:22Z</dcterms:modified>
</cp:coreProperties>
</file>