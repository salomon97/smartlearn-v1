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 &amp; Logiciels" sheetId="1" state="visible" r:id="rId1"/>
    <sheet xmlns:r="http://schemas.openxmlformats.org/officeDocument/2006/relationships" name="Base — ménages" sheetId="2" state="visible" r:id="rId2"/>
    <sheet xmlns:r="http://schemas.openxmlformats.org/officeDocument/2006/relationships" name="1. Socio-démographie" sheetId="3" state="visible" r:id="rId3"/>
    <sheet xmlns:r="http://schemas.openxmlformats.org/officeDocument/2006/relationships" name="2. PFNL fréquences" sheetId="4" state="visible" r:id="rId4"/>
    <sheet xmlns:r="http://schemas.openxmlformats.org/officeDocument/2006/relationships" name="9. Panier PFNL par GIC" sheetId="5" state="visible" r:id="rId5"/>
    <sheet xmlns:r="http://schemas.openxmlformats.org/officeDocument/2006/relationships" name="3. PFNL contribution" sheetId="6" state="visible" r:id="rId6"/>
    <sheet xmlns:r="http://schemas.openxmlformats.org/officeDocument/2006/relationships" name="5. Diversité floristique" sheetId="7" state="visible" r:id="rId7"/>
    <sheet xmlns:r="http://schemas.openxmlformats.org/officeDocument/2006/relationships" name="6. Similarité &amp; structure" sheetId="8" state="visible" r:id="rId8"/>
    <sheet xmlns:r="http://schemas.openxmlformats.org/officeDocument/2006/relationships" name="7. Contraintes &amp; revenus" sheetId="9" state="visible" r:id="rId9"/>
    <sheet xmlns:r="http://schemas.openxmlformats.org/officeDocument/2006/relationships" name="8. Déterminants revenu" sheetId="10" state="visible" r:id="rId10"/>
    <sheet xmlns:r="http://schemas.openxmlformats.org/officeDocument/2006/relationships" name="10. Régression multivarié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A1628"/>
      <sz val="14"/>
    </font>
    <font>
      <i val="1"/>
      <color rgb="0064748B"/>
    </font>
    <font>
      <b val="1"/>
      <color rgb="000A8A75"/>
      <sz val="11"/>
    </font>
    <font>
      <name val="Calibri"/>
      <b val="1"/>
      <color rgb="00FFFFFF"/>
      <sz val="10"/>
    </font>
    <font>
      <b val="1"/>
      <color rgb="000A1628"/>
      <sz val="13"/>
    </font>
    <font>
      <b val="1"/>
      <color rgb="00FFFFFF"/>
      <sz val="10"/>
    </font>
    <font>
      <b val="1"/>
      <color rgb="000A8A75"/>
    </font>
    <font>
      <b val="1"/>
    </font>
    <font>
      <b val="1"/>
      <color rgb="000A1628"/>
      <sz val="12"/>
    </font>
    <font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1F5F9"/>
      </patternFill>
    </fill>
    <fill>
      <patternFill patternType="solid">
        <fgColor rgb="00FDEC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4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2" borderId="1" pivotButton="0" quotePrefix="0" xfId="0"/>
    <xf numFmtId="0" fontId="9" fillId="0" borderId="0" pivotButton="0" quotePrefix="0" xfId="0"/>
    <xf numFmtId="0" fontId="6" fillId="2" borderId="1" applyAlignment="1" pivotButton="0" quotePrefix="0" xfId="0">
      <alignment horizont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Fréquence de citation des PFNL (%)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'2. PFNL fréquences'!$B$2:$B$12</f>
            </numRef>
          </cat>
          <val>
            <numRef>
              <f>'2. PFNL fréquences'!$E$2:$E$12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Nombre moyen de PFNL par GIC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'9. Panier PFNL par GIC'!C4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'9. Panier PFNL par GIC'!$A$5:$A$8</f>
            </numRef>
          </cat>
          <val>
            <numRef>
              <f>'9. Panier PFNL par GIC'!$C$5:$C$8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au revenu PFNL total</a:t>
            </a:r>
          </a:p>
        </rich>
      </tx>
    </title>
    <plotArea>
      <pieChart>
        <varyColors val="1"/>
        <ser>
          <idx val="0"/>
          <order val="0"/>
          <tx>
            <strRef>
              <f>'3. PFNL contribution'!M1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'3. PFNL contribution'!$L$2:$L$6</f>
            </numRef>
          </cat>
          <val>
            <numRef>
              <f>'3. PFNL contribution'!$M$2:$M$6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Indices de diversité par agroforêt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Diversité floristique'!D1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'5. Diversité floristique'!$A$2:$A$5</f>
            </numRef>
          </cat>
          <val>
            <numRef>
              <f>'5. Diversité floristique'!$D$2:$D$5</f>
            </numRef>
          </val>
        </ser>
        <ser>
          <idx val="1"/>
          <order val="1"/>
          <tx>
            <strRef>
              <f>'5. Diversité floristique'!E1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'5. Diversité floristique'!$A$2:$A$5</f>
            </numRef>
          </cat>
          <val>
            <numRef>
              <f>'5. Diversité floristique'!$E$2:$E$5</f>
            </numRef>
          </val>
        </ser>
        <ser>
          <idx val="2"/>
          <order val="2"/>
          <tx>
            <strRef>
              <f>'5. Diversité floristique'!F1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'5. Diversité floristique'!$A$2:$A$5</f>
            </numRef>
          </cat>
          <val>
            <numRef>
              <f>'5. Diversité floristique'!$F$2:$F$5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par classe de DHP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'6. Similarité &amp; structure'!B10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'6. Similarité &amp; structure'!$A$11:$A$20</f>
            </numRef>
          </cat>
          <val>
            <numRef>
              <f>'6. Similarité &amp; structure'!$B$11:$B$20</f>
            </numRef>
          </val>
        </ser>
        <ser>
          <idx val="1"/>
          <order val="1"/>
          <tx>
            <strRef>
              <f>'6. Similarité &amp; structure'!C10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'6. Similarité &amp; structure'!$A$11:$A$20</f>
            </numRef>
          </cat>
          <val>
            <numRef>
              <f>'6. Similarité &amp; structure'!$C$11:$C$20</f>
            </numRef>
          </val>
        </ser>
        <ser>
          <idx val="2"/>
          <order val="2"/>
          <tx>
            <strRef>
              <f>'6. Similarité &amp; structure'!D10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'6. Similarité &amp; structure'!$A$11:$A$20</f>
            </numRef>
          </cat>
          <val>
            <numRef>
              <f>'6. Similarité &amp; structure'!$D$11:$D$20</f>
            </numRef>
          </val>
        </ser>
        <ser>
          <idx val="3"/>
          <order val="3"/>
          <tx>
            <strRef>
              <f>'6. Similarité &amp; structure'!E10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'6. Similarité &amp; structure'!$A$11:$A$20</f>
            </numRef>
          </cat>
          <val>
            <numRef>
              <f>'6. Similarité &amp; structure'!$E$11:$E$20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19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</cols>
  <sheetData>
    <row r="1">
      <c r="A1" s="1" t="inlineStr">
        <is>
          <t>Analyses statistiques — Valorisation des PFNL et diversité floristique, Lomié</t>
        </is>
      </c>
    </row>
    <row r="2">
      <c r="A2" t="inlineStr">
        <is>
          <t>Base de données : inventaire floristique (2 379 arbres) + enquêtes socio-économiques (50 ménages)</t>
        </is>
      </c>
    </row>
    <row r="3">
      <c r="A3" s="2" t="inlineStr">
        <is>
          <t>Toutes les valeurs sont recalculées à partir de la base fournie. Aucune donnée inventée.</t>
        </is>
      </c>
    </row>
    <row r="5">
      <c r="A5" s="3" t="inlineStr">
        <is>
          <t>Logiciels et versions utilisés pour les analyses</t>
        </is>
      </c>
    </row>
    <row r="6">
      <c r="A6" s="4" t="inlineStr">
        <is>
          <t>Logiciel / bibliothèque</t>
        </is>
      </c>
      <c r="B6" s="4" t="inlineStr">
        <is>
          <t>Version</t>
        </is>
      </c>
    </row>
    <row r="7">
      <c r="A7" s="5" t="inlineStr">
        <is>
          <t>Python</t>
        </is>
      </c>
      <c r="B7" s="5" t="inlineStr">
        <is>
          <t>3.11.15</t>
        </is>
      </c>
    </row>
    <row r="8">
      <c r="A8" s="6" t="inlineStr">
        <is>
          <t>Platform</t>
        </is>
      </c>
      <c r="B8" s="6" t="inlineStr">
        <is>
          <t>Linux-6.18.5-x86_64-with-glibc2.39</t>
        </is>
      </c>
    </row>
    <row r="9">
      <c r="A9" s="5" t="inlineStr">
        <is>
          <t>pandas</t>
        </is>
      </c>
      <c r="B9" s="5" t="inlineStr">
        <is>
          <t>3.0.3</t>
        </is>
      </c>
    </row>
    <row r="10">
      <c r="A10" s="6" t="inlineStr">
        <is>
          <t>numpy</t>
        </is>
      </c>
      <c r="B10" s="6" t="inlineStr">
        <is>
          <t>2.4.6</t>
        </is>
      </c>
    </row>
    <row r="11">
      <c r="A11" s="5" t="inlineStr">
        <is>
          <t>scipy</t>
        </is>
      </c>
      <c r="B11" s="5" t="inlineStr">
        <is>
          <t>1.17.1</t>
        </is>
      </c>
    </row>
    <row r="12">
      <c r="A12" s="6" t="inlineStr">
        <is>
          <t>openpyxl</t>
        </is>
      </c>
      <c r="B12" s="6" t="inlineStr">
        <is>
          <t>3.1.5</t>
        </is>
      </c>
    </row>
    <row r="13">
      <c r="A13" s="5" t="inlineStr">
        <is>
          <t>matplotlib</t>
        </is>
      </c>
      <c r="B13" s="5" t="inlineStr">
        <is>
          <t>3.11.0</t>
        </is>
      </c>
    </row>
    <row r="14">
      <c r="A14" s="6" t="inlineStr">
        <is>
          <t>python-docx</t>
        </is>
      </c>
      <c r="B14" s="6" t="inlineStr">
        <is>
          <t>1.2.0</t>
        </is>
      </c>
    </row>
    <row r="15">
      <c r="A15" s="5" t="inlineStr">
        <is>
          <t>scikit-posthocs</t>
        </is>
      </c>
      <c r="B15" s="5" t="inlineStr">
        <is>
          <t>0.14.0</t>
        </is>
      </c>
    </row>
    <row r="17">
      <c r="A17" s="3" t="inlineStr">
        <is>
          <t>Méthodes statistiques employées</t>
        </is>
      </c>
    </row>
    <row r="18">
      <c r="A18" s="4" t="inlineStr">
        <is>
          <t>Analyse</t>
        </is>
      </c>
      <c r="B18" s="4" t="inlineStr">
        <is>
          <t>Méthode / détail</t>
        </is>
      </c>
    </row>
    <row r="19">
      <c r="A19" s="5" t="inlineStr">
        <is>
          <t>Statistiques descriptives</t>
        </is>
      </c>
      <c r="B19" s="5" t="inlineStr">
        <is>
          <t>moyenne, médiane, écart-type, min, max, quartiles, coefficient de variation</t>
        </is>
      </c>
    </row>
    <row r="20">
      <c r="A20" s="6" t="inlineStr">
        <is>
          <t>Intervalles de confiance</t>
        </is>
      </c>
      <c r="B20" s="6" t="inlineStr">
        <is>
          <t>Wilson (proportions), Student (moyennes), niveau 95 %</t>
        </is>
      </c>
    </row>
    <row r="21">
      <c r="A21" s="5" t="inlineStr">
        <is>
          <t>Comparaison 2 groupes</t>
        </is>
      </c>
      <c r="B21" s="5" t="inlineStr">
        <is>
          <t>test de Mann-Whitney (non paramétrique)</t>
        </is>
      </c>
    </row>
    <row r="22">
      <c r="A22" s="6" t="inlineStr">
        <is>
          <t>Comparaison &gt; 2 groupes</t>
        </is>
      </c>
      <c r="B22" s="6" t="inlineStr">
        <is>
          <t>test de Kruskal-Wallis + post-hoc de Dunn (Bonferroni)</t>
        </is>
      </c>
    </row>
    <row r="23">
      <c r="A23" s="5" t="inlineStr">
        <is>
          <t>Corrélation</t>
        </is>
      </c>
      <c r="B23" s="5" t="inlineStr">
        <is>
          <t>coefficient des rangs de Spearman</t>
        </is>
      </c>
    </row>
    <row r="24">
      <c r="A24" s="6" t="inlineStr">
        <is>
          <t>Indices de diversité</t>
        </is>
      </c>
      <c r="B24" s="6" t="inlineStr">
        <is>
          <t>Shannon-Wiener (H'), Simpson (1-D), Piélou (J)</t>
        </is>
      </c>
    </row>
    <row r="25">
      <c r="A25" s="5" t="inlineStr">
        <is>
          <t>Similarité</t>
        </is>
      </c>
      <c r="B25" s="5" t="inlineStr">
        <is>
          <t>coefficient de Sørensen</t>
        </is>
      </c>
    </row>
    <row r="26">
      <c r="A26" s="6" t="inlineStr">
        <is>
          <t>Structure</t>
        </is>
      </c>
      <c r="B26" s="6" t="inlineStr">
        <is>
          <t>densité (ind./ha), surface terrière (m²/ha), classes de DHP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9" customWidth="1" min="4" max="4"/>
    <col width="9" customWidth="1" min="5" max="5"/>
    <col width="13" customWidth="1" min="6" max="6"/>
    <col width="20" customWidth="1" min="7" max="7"/>
    <col width="13" customWidth="1" min="8" max="8"/>
    <col width="16" customWidth="1" min="9" max="9"/>
    <col width="16" customWidth="1" min="10" max="10"/>
    <col width="9" customWidth="1" min="11" max="11"/>
    <col width="20" customWidth="1" min="12" max="12"/>
  </cols>
  <sheetData>
    <row r="1">
      <c r="A1" s="15" t="inlineStr">
        <is>
          <t>Base de travail par ménage (source : enquêtes socio-économiques)</t>
        </is>
      </c>
    </row>
    <row r="3">
      <c r="A3" s="16" t="inlineStr">
        <is>
          <t>ID</t>
        </is>
      </c>
      <c r="B3" s="16" t="inlineStr">
        <is>
          <t>Localité</t>
        </is>
      </c>
      <c r="C3" s="16" t="inlineStr">
        <is>
          <t>Sexe</t>
        </is>
      </c>
      <c r="D3" s="16" t="inlineStr">
        <is>
          <t>Âge</t>
        </is>
      </c>
      <c r="E3" s="16" t="inlineStr">
        <is>
          <t>Ethnie</t>
        </is>
      </c>
      <c r="F3" s="16" t="inlineStr">
        <is>
          <t>Statut matrim.</t>
        </is>
      </c>
      <c r="G3" s="16" t="inlineStr">
        <is>
          <t>Instruction</t>
        </is>
      </c>
      <c r="H3" s="16" t="inlineStr">
        <is>
          <t>Taille ménage</t>
        </is>
      </c>
      <c r="I3" s="16" t="inlineStr">
        <is>
          <t>Ancienneté</t>
        </is>
      </c>
      <c r="J3" s="16" t="inlineStr">
        <is>
          <t>GIC</t>
        </is>
      </c>
      <c r="K3" s="16" t="inlineStr">
        <is>
          <t>Nb PFNL</t>
        </is>
      </c>
      <c r="L3" s="16" t="inlineStr">
        <is>
          <t>Revenu PFNL total (FCFA)</t>
        </is>
      </c>
    </row>
    <row r="4">
      <c r="A4" s="6" t="inlineStr">
        <is>
          <t>ID1</t>
        </is>
      </c>
      <c r="B4" s="6" t="inlineStr">
        <is>
          <t>Zoulabot I</t>
        </is>
      </c>
      <c r="C4" s="6" t="inlineStr">
        <is>
          <t>M</t>
        </is>
      </c>
      <c r="D4" s="6" t="inlineStr">
        <is>
          <t>[35;50[</t>
        </is>
      </c>
      <c r="E4" s="6" t="inlineStr">
        <is>
          <t>Zimé</t>
        </is>
      </c>
      <c r="F4" s="6" t="inlineStr">
        <is>
          <t>Marié</t>
        </is>
      </c>
      <c r="G4" s="6" t="inlineStr">
        <is>
          <t>Secondaire premier cycle</t>
        </is>
      </c>
      <c r="H4" s="6" t="inlineStr">
        <is>
          <t>[10 ; 15[</t>
        </is>
      </c>
      <c r="I4" s="6" t="inlineStr">
        <is>
          <t>Entre 10 et 15 ans</t>
        </is>
      </c>
      <c r="J4" s="6" t="inlineStr">
        <is>
          <t>Mpoulah Mepeh</t>
        </is>
      </c>
      <c r="K4" s="6" t="n">
        <v>2</v>
      </c>
      <c r="L4" s="6" t="n">
        <v>1260000</v>
      </c>
    </row>
    <row r="5">
      <c r="A5" s="5" t="inlineStr">
        <is>
          <t>ID2</t>
        </is>
      </c>
      <c r="B5" s="5" t="inlineStr">
        <is>
          <t>Zoulabot I</t>
        </is>
      </c>
      <c r="C5" s="5" t="inlineStr">
        <is>
          <t>F</t>
        </is>
      </c>
      <c r="D5" s="5" t="inlineStr">
        <is>
          <t>[50;65[</t>
        </is>
      </c>
      <c r="E5" s="5" t="inlineStr">
        <is>
          <t>Zimé</t>
        </is>
      </c>
      <c r="F5" s="5" t="inlineStr">
        <is>
          <t>Marié</t>
        </is>
      </c>
      <c r="G5" s="5" t="inlineStr">
        <is>
          <t>Primaire</t>
        </is>
      </c>
      <c r="H5" s="5" t="inlineStr">
        <is>
          <t>≥ 15</t>
        </is>
      </c>
      <c r="I5" s="5" t="inlineStr">
        <is>
          <t>Entre 10 et 15 ans</t>
        </is>
      </c>
      <c r="J5" s="5" t="inlineStr">
        <is>
          <t>Mpoulah Mepeh</t>
        </is>
      </c>
      <c r="K5" s="5" t="n">
        <v>2</v>
      </c>
      <c r="L5" s="5" t="n">
        <v>563000</v>
      </c>
    </row>
    <row r="6">
      <c r="A6" s="6" t="inlineStr">
        <is>
          <t>ID3</t>
        </is>
      </c>
      <c r="B6" s="6" t="inlineStr">
        <is>
          <t>Zoulabot I</t>
        </is>
      </c>
      <c r="C6" s="6" t="inlineStr">
        <is>
          <t>F</t>
        </is>
      </c>
      <c r="D6" s="6" t="inlineStr">
        <is>
          <t>[50;65[</t>
        </is>
      </c>
      <c r="E6" s="6" t="inlineStr">
        <is>
          <t>Zimé</t>
        </is>
      </c>
      <c r="F6" s="6" t="inlineStr">
        <is>
          <t>Divorcé</t>
        </is>
      </c>
      <c r="G6" s="6" t="inlineStr">
        <is>
          <t>Primaire</t>
        </is>
      </c>
      <c r="H6" s="6" t="inlineStr">
        <is>
          <t>[5 ; 10[</t>
        </is>
      </c>
      <c r="I6" s="6" t="inlineStr">
        <is>
          <t>Entre 10 et 15 ans</t>
        </is>
      </c>
      <c r="J6" s="6" t="inlineStr">
        <is>
          <t>Mpoulah Mepeh</t>
        </is>
      </c>
      <c r="K6" s="6" t="n">
        <v>3</v>
      </c>
      <c r="L6" s="6" t="n">
        <v>921500</v>
      </c>
    </row>
    <row r="7">
      <c r="A7" s="5" t="inlineStr">
        <is>
          <t>ID4</t>
        </is>
      </c>
      <c r="B7" s="5" t="inlineStr">
        <is>
          <t>Zoulabot I</t>
        </is>
      </c>
      <c r="C7" s="5" t="inlineStr">
        <is>
          <t>F</t>
        </is>
      </c>
      <c r="D7" s="5" t="inlineStr">
        <is>
          <t>[50;65[</t>
        </is>
      </c>
      <c r="E7" s="5" t="inlineStr">
        <is>
          <t>Zimé</t>
        </is>
      </c>
      <c r="F7" s="5" t="inlineStr">
        <is>
          <t>Veuve</t>
        </is>
      </c>
      <c r="G7" s="5" t="inlineStr">
        <is>
          <t>Secondaire premier cycle</t>
        </is>
      </c>
      <c r="H7" s="5" t="inlineStr">
        <is>
          <t>[10 ; 15[</t>
        </is>
      </c>
      <c r="I7" s="5" t="inlineStr">
        <is>
          <t>Moins de 5 ans</t>
        </is>
      </c>
      <c r="J7" s="5" t="inlineStr">
        <is>
          <t>Mpoulah Mepeh</t>
        </is>
      </c>
      <c r="K7" s="5" t="n">
        <v>1</v>
      </c>
      <c r="L7" s="5" t="n">
        <v>45000</v>
      </c>
    </row>
    <row r="8">
      <c r="A8" s="6" t="inlineStr">
        <is>
          <t>ID5</t>
        </is>
      </c>
      <c r="B8" s="6" t="inlineStr">
        <is>
          <t>Zoulabot I</t>
        </is>
      </c>
      <c r="C8" s="6" t="inlineStr">
        <is>
          <t>F</t>
        </is>
      </c>
      <c r="D8" s="6" t="inlineStr">
        <is>
          <t>[35;50[</t>
        </is>
      </c>
      <c r="E8" s="6" t="inlineStr">
        <is>
          <t>Zimé</t>
        </is>
      </c>
      <c r="F8" s="6" t="inlineStr">
        <is>
          <t>Célibataire</t>
        </is>
      </c>
      <c r="G8" s="6" t="inlineStr">
        <is>
          <t>Primaire</t>
        </is>
      </c>
      <c r="H8" s="6" t="inlineStr">
        <is>
          <t>[5 ; 10[</t>
        </is>
      </c>
      <c r="I8" s="6" t="inlineStr">
        <is>
          <t>Moins de 5 ans</t>
        </is>
      </c>
      <c r="J8" s="6" t="inlineStr">
        <is>
          <t>Mpoulah Mepeh</t>
        </is>
      </c>
      <c r="K8" s="6" t="n">
        <v>2</v>
      </c>
      <c r="L8" s="6" t="n">
        <v>217500</v>
      </c>
    </row>
    <row r="9">
      <c r="A9" s="5" t="inlineStr">
        <is>
          <t>ID6</t>
        </is>
      </c>
      <c r="B9" s="5" t="inlineStr">
        <is>
          <t>Zoulabot I</t>
        </is>
      </c>
      <c r="C9" s="5" t="inlineStr">
        <is>
          <t>F</t>
        </is>
      </c>
      <c r="D9" s="5" t="inlineStr">
        <is>
          <t>[65;80[</t>
        </is>
      </c>
      <c r="E9" s="5" t="inlineStr">
        <is>
          <t>Zimé</t>
        </is>
      </c>
      <c r="F9" s="5" t="inlineStr">
        <is>
          <t>Célibataire</t>
        </is>
      </c>
      <c r="G9" s="5" t="inlineStr">
        <is>
          <t>Primaire</t>
        </is>
      </c>
      <c r="H9" s="5" t="inlineStr">
        <is>
          <t>[10 ; 15[</t>
        </is>
      </c>
      <c r="I9" s="5" t="inlineStr">
        <is>
          <t>Moins de 5 ans</t>
        </is>
      </c>
      <c r="J9" s="5" t="inlineStr">
        <is>
          <t>Mpoulah Mepeh</t>
        </is>
      </c>
      <c r="K9" s="5" t="n">
        <v>2</v>
      </c>
      <c r="L9" s="5" t="n">
        <v>270000</v>
      </c>
    </row>
    <row r="10">
      <c r="A10" s="6" t="inlineStr">
        <is>
          <t>ID7</t>
        </is>
      </c>
      <c r="B10" s="6" t="inlineStr">
        <is>
          <t>Zoulabot I</t>
        </is>
      </c>
      <c r="C10" s="6" t="inlineStr">
        <is>
          <t>F</t>
        </is>
      </c>
      <c r="D10" s="6" t="inlineStr">
        <is>
          <t>[18;35[</t>
        </is>
      </c>
      <c r="E10" s="6" t="inlineStr">
        <is>
          <t>Zimé</t>
        </is>
      </c>
      <c r="F10" s="6" t="inlineStr">
        <is>
          <t>Marié</t>
        </is>
      </c>
      <c r="G10" s="6" t="inlineStr">
        <is>
          <t>Secondaire premier cycle</t>
        </is>
      </c>
      <c r="H10" s="6" t="inlineStr">
        <is>
          <t>[5 ; 10[</t>
        </is>
      </c>
      <c r="I10" s="6" t="inlineStr">
        <is>
          <t>Entre 5 et 10 ans</t>
        </is>
      </c>
      <c r="J10" s="6" t="inlineStr">
        <is>
          <t>Mpoulah Mepeh</t>
        </is>
      </c>
      <c r="K10" s="6" t="n">
        <v>2</v>
      </c>
      <c r="L10" s="6" t="n">
        <v>82500</v>
      </c>
    </row>
    <row r="11">
      <c r="A11" s="5" t="inlineStr">
        <is>
          <t>ID8</t>
        </is>
      </c>
      <c r="B11" s="5" t="inlineStr">
        <is>
          <t>Zoulabot I</t>
        </is>
      </c>
      <c r="C11" s="5" t="inlineStr">
        <is>
          <t>F</t>
        </is>
      </c>
      <c r="D11" s="5" t="inlineStr">
        <is>
          <t>[18;35[</t>
        </is>
      </c>
      <c r="E11" s="5" t="inlineStr">
        <is>
          <t>Zimé</t>
        </is>
      </c>
      <c r="F11" s="5" t="inlineStr">
        <is>
          <t>Marié</t>
        </is>
      </c>
      <c r="G11" s="5" t="inlineStr">
        <is>
          <t>Secondaire premier cycle</t>
        </is>
      </c>
      <c r="H11" s="5" t="inlineStr">
        <is>
          <t>[5 ; 10[</t>
        </is>
      </c>
      <c r="I11" s="5" t="inlineStr">
        <is>
          <t>Entre 5 et 10 ans</t>
        </is>
      </c>
      <c r="J11" s="5" t="inlineStr">
        <is>
          <t>Mpoulah Mepeh</t>
        </is>
      </c>
      <c r="K11" s="5" t="n">
        <v>5</v>
      </c>
      <c r="L11" s="5" t="n">
        <v>1095000</v>
      </c>
    </row>
    <row r="12">
      <c r="A12" s="6" t="inlineStr">
        <is>
          <t>ID9</t>
        </is>
      </c>
      <c r="B12" s="6" t="inlineStr">
        <is>
          <t>Zoulabot I</t>
        </is>
      </c>
      <c r="C12" s="6" t="inlineStr">
        <is>
          <t>F</t>
        </is>
      </c>
      <c r="D12" s="6" t="inlineStr">
        <is>
          <t>[65;80[</t>
        </is>
      </c>
      <c r="E12" s="6" t="inlineStr">
        <is>
          <t>Kako</t>
        </is>
      </c>
      <c r="F12" s="6" t="inlineStr">
        <is>
          <t>Marié</t>
        </is>
      </c>
      <c r="G12" s="6" t="inlineStr">
        <is>
          <t>Aucun</t>
        </is>
      </c>
      <c r="H12" s="6" t="inlineStr">
        <is>
          <t>[5 ; 10[</t>
        </is>
      </c>
      <c r="I12" s="6" t="inlineStr">
        <is>
          <t>Entre 5 et 10 ans</t>
        </is>
      </c>
      <c r="J12" s="6" t="inlineStr">
        <is>
          <t>Mpoulah Mepeh</t>
        </is>
      </c>
      <c r="K12" s="6" t="n">
        <v>3</v>
      </c>
      <c r="L12" s="6" t="n">
        <v>840000</v>
      </c>
    </row>
    <row r="13">
      <c r="A13" s="5" t="inlineStr">
        <is>
          <t>ID10</t>
        </is>
      </c>
      <c r="B13" s="5" t="inlineStr">
        <is>
          <t>Zoulabot I</t>
        </is>
      </c>
      <c r="C13" s="5" t="inlineStr">
        <is>
          <t>F</t>
        </is>
      </c>
      <c r="D13" s="5" t="inlineStr">
        <is>
          <t>[50;65[</t>
        </is>
      </c>
      <c r="E13" s="5" t="inlineStr">
        <is>
          <t>Zimé</t>
        </is>
      </c>
      <c r="F13" s="5" t="inlineStr">
        <is>
          <t>Marié</t>
        </is>
      </c>
      <c r="G13" s="5" t="inlineStr">
        <is>
          <t>Primaire</t>
        </is>
      </c>
      <c r="H13" s="5" t="inlineStr">
        <is>
          <t>[10 ; 15[</t>
        </is>
      </c>
      <c r="I13" s="5" t="inlineStr">
        <is>
          <t>Entre 10 et 15 ans</t>
        </is>
      </c>
      <c r="J13" s="5" t="inlineStr">
        <is>
          <t>Mpoulah Mepeh</t>
        </is>
      </c>
      <c r="K13" s="5" t="n">
        <v>4</v>
      </c>
      <c r="L13" s="5" t="n">
        <v>840000</v>
      </c>
    </row>
    <row r="14">
      <c r="A14" s="6" t="inlineStr">
        <is>
          <t>ID11</t>
        </is>
      </c>
      <c r="B14" s="6" t="inlineStr">
        <is>
          <t>Zoulabot I</t>
        </is>
      </c>
      <c r="C14" s="6" t="inlineStr">
        <is>
          <t>M</t>
        </is>
      </c>
      <c r="D14" s="6" t="inlineStr">
        <is>
          <t>[50;65[</t>
        </is>
      </c>
      <c r="E14" s="6" t="inlineStr">
        <is>
          <t>Zimé</t>
        </is>
      </c>
      <c r="F14" s="6" t="inlineStr">
        <is>
          <t>Marié</t>
        </is>
      </c>
      <c r="G14" s="6" t="inlineStr">
        <is>
          <t>Secondaire premier cycle</t>
        </is>
      </c>
      <c r="H14" s="6" t="inlineStr">
        <is>
          <t>[10 ; 15[</t>
        </is>
      </c>
      <c r="I14" s="6" t="inlineStr">
        <is>
          <t>Plus de 20 ans</t>
        </is>
      </c>
      <c r="J14" s="6" t="inlineStr">
        <is>
          <t>Mpoulah Mepeh</t>
        </is>
      </c>
      <c r="K14" s="6" t="n">
        <v>3</v>
      </c>
      <c r="L14" s="6" t="n">
        <v>450000</v>
      </c>
    </row>
    <row r="15">
      <c r="A15" s="5" t="inlineStr">
        <is>
          <t>ID12</t>
        </is>
      </c>
      <c r="B15" s="5" t="inlineStr">
        <is>
          <t>Zoulabot I</t>
        </is>
      </c>
      <c r="C15" s="5" t="inlineStr">
        <is>
          <t>F</t>
        </is>
      </c>
      <c r="D15" s="5" t="inlineStr">
        <is>
          <t>[35;50[</t>
        </is>
      </c>
      <c r="E15" s="5" t="inlineStr">
        <is>
          <t>Baka</t>
        </is>
      </c>
      <c r="F15" s="5" t="inlineStr">
        <is>
          <t>Célibataire</t>
        </is>
      </c>
      <c r="G15" s="5" t="inlineStr">
        <is>
          <t>Aucun</t>
        </is>
      </c>
      <c r="H15" s="5" t="inlineStr">
        <is>
          <t>˂ 5</t>
        </is>
      </c>
      <c r="I15" s="5" t="inlineStr">
        <is>
          <t>Entre 10 et 15 ans</t>
        </is>
      </c>
      <c r="J15" s="5" t="inlineStr">
        <is>
          <t>Mpoulah Mepeh</t>
        </is>
      </c>
      <c r="K15" s="5" t="n">
        <v>5</v>
      </c>
      <c r="L15" s="5" t="n">
        <v>300000</v>
      </c>
    </row>
    <row r="16">
      <c r="A16" s="6" t="inlineStr">
        <is>
          <t>ID13</t>
        </is>
      </c>
      <c r="B16" s="6" t="inlineStr">
        <is>
          <t>Zoulabot I</t>
        </is>
      </c>
      <c r="C16" s="6" t="inlineStr">
        <is>
          <t>M</t>
        </is>
      </c>
      <c r="D16" s="6" t="inlineStr">
        <is>
          <t>[18;35[</t>
        </is>
      </c>
      <c r="E16" s="6" t="inlineStr">
        <is>
          <t>Baka</t>
        </is>
      </c>
      <c r="F16" s="6" t="inlineStr">
        <is>
          <t>Marié</t>
        </is>
      </c>
      <c r="G16" s="6" t="inlineStr">
        <is>
          <t>Primaire</t>
        </is>
      </c>
      <c r="H16" s="6" t="inlineStr">
        <is>
          <t>[5 ; 10[</t>
        </is>
      </c>
      <c r="I16" s="6" t="inlineStr">
        <is>
          <t>Moins de 5 ans</t>
        </is>
      </c>
      <c r="J16" s="6" t="inlineStr">
        <is>
          <t>Mpoulah Mepeh</t>
        </is>
      </c>
      <c r="K16" s="6" t="n">
        <v>1</v>
      </c>
      <c r="L16" s="6" t="n">
        <v>81000</v>
      </c>
    </row>
    <row r="17">
      <c r="A17" s="5" t="inlineStr">
        <is>
          <t>ID14</t>
        </is>
      </c>
      <c r="B17" s="5" t="inlineStr">
        <is>
          <t>Zoulabot I</t>
        </is>
      </c>
      <c r="C17" s="5" t="inlineStr">
        <is>
          <t>M</t>
        </is>
      </c>
      <c r="D17" s="5" t="inlineStr">
        <is>
          <t>[35;50[</t>
        </is>
      </c>
      <c r="E17" s="5" t="inlineStr">
        <is>
          <t>Baka</t>
        </is>
      </c>
      <c r="F17" s="5" t="inlineStr">
        <is>
          <t>Marié</t>
        </is>
      </c>
      <c r="G17" s="5" t="inlineStr">
        <is>
          <t>Primaire</t>
        </is>
      </c>
      <c r="H17" s="5" t="inlineStr">
        <is>
          <t>[5 ; 10[</t>
        </is>
      </c>
      <c r="I17" s="5" t="inlineStr">
        <is>
          <t>Moins de 5 ans</t>
        </is>
      </c>
      <c r="J17" s="5" t="inlineStr">
        <is>
          <t>Mpoulah Mepeh</t>
        </is>
      </c>
      <c r="K17" s="5" t="n">
        <v>1</v>
      </c>
      <c r="L17" s="5" t="n">
        <v>73500</v>
      </c>
    </row>
    <row r="18">
      <c r="A18" s="6" t="inlineStr">
        <is>
          <t>ID15</t>
        </is>
      </c>
      <c r="B18" s="6" t="inlineStr">
        <is>
          <t>Zoulabot I</t>
        </is>
      </c>
      <c r="C18" s="6" t="inlineStr">
        <is>
          <t>M</t>
        </is>
      </c>
      <c r="D18" s="6" t="inlineStr">
        <is>
          <t>[35;50[</t>
        </is>
      </c>
      <c r="E18" s="6" t="inlineStr">
        <is>
          <t>Baka</t>
        </is>
      </c>
      <c r="F18" s="6" t="inlineStr">
        <is>
          <t>Marié</t>
        </is>
      </c>
      <c r="G18" s="6" t="inlineStr">
        <is>
          <t>Primaire</t>
        </is>
      </c>
      <c r="H18" s="6" t="inlineStr">
        <is>
          <t>[5 ; 10[</t>
        </is>
      </c>
      <c r="I18" s="6" t="inlineStr">
        <is>
          <t>Moins de 5 ans</t>
        </is>
      </c>
      <c r="J18" s="6" t="inlineStr">
        <is>
          <t>Mpoulah Mepeh</t>
        </is>
      </c>
      <c r="K18" s="6" t="n">
        <v>2</v>
      </c>
      <c r="L18" s="6" t="n">
        <v>0</v>
      </c>
    </row>
    <row r="19">
      <c r="A19" s="5" t="inlineStr">
        <is>
          <t>ID16</t>
        </is>
      </c>
      <c r="B19" s="5" t="inlineStr">
        <is>
          <t>Zoulabot I</t>
        </is>
      </c>
      <c r="C19" s="5" t="inlineStr">
        <is>
          <t>F</t>
        </is>
      </c>
      <c r="D19" s="5" t="inlineStr">
        <is>
          <t>[50;65[</t>
        </is>
      </c>
      <c r="E19" s="5" t="inlineStr">
        <is>
          <t>Baka</t>
        </is>
      </c>
      <c r="F19" s="5" t="inlineStr">
        <is>
          <t>Marié</t>
        </is>
      </c>
      <c r="G19" s="5" t="inlineStr">
        <is>
          <t>Aucun</t>
        </is>
      </c>
      <c r="H19" s="5" t="inlineStr">
        <is>
          <t>[5 ; 10[</t>
        </is>
      </c>
      <c r="I19" s="5" t="inlineStr">
        <is>
          <t>Moins de 5 ans</t>
        </is>
      </c>
      <c r="J19" s="5" t="inlineStr">
        <is>
          <t>Mpoulah Mepeh</t>
        </is>
      </c>
      <c r="K19" s="5" t="n">
        <v>1</v>
      </c>
      <c r="L19" s="5" t="n">
        <v>48000</v>
      </c>
    </row>
    <row r="20">
      <c r="A20" s="6" t="inlineStr">
        <is>
          <t>ID17</t>
        </is>
      </c>
      <c r="B20" s="6" t="inlineStr">
        <is>
          <t>Zoulabot I</t>
        </is>
      </c>
      <c r="C20" s="6" t="inlineStr">
        <is>
          <t>F</t>
        </is>
      </c>
      <c r="D20" s="6" t="inlineStr">
        <is>
          <t>[35;50[</t>
        </is>
      </c>
      <c r="E20" s="6" t="inlineStr">
        <is>
          <t>Zimé</t>
        </is>
      </c>
      <c r="F20" s="6" t="inlineStr">
        <is>
          <t>Divorcé</t>
        </is>
      </c>
      <c r="G20" s="6" t="inlineStr">
        <is>
          <t>Secondaire premier cycle</t>
        </is>
      </c>
      <c r="H20" s="6" t="inlineStr">
        <is>
          <t>[5 ; 10[</t>
        </is>
      </c>
      <c r="I20" s="6" t="inlineStr">
        <is>
          <t>Entre 10 et 15 ans</t>
        </is>
      </c>
      <c r="J20" s="6" t="inlineStr">
        <is>
          <t>Mpoulah Mepeh</t>
        </is>
      </c>
      <c r="K20" s="6" t="n">
        <v>1</v>
      </c>
      <c r="L20" s="6" t="n">
        <v>336000</v>
      </c>
    </row>
    <row r="21">
      <c r="A21" s="5" t="inlineStr">
        <is>
          <t>ID18</t>
        </is>
      </c>
      <c r="B21" s="5" t="inlineStr">
        <is>
          <t>Kongo</t>
        </is>
      </c>
      <c r="C21" s="5" t="inlineStr">
        <is>
          <t>F</t>
        </is>
      </c>
      <c r="D21" s="5" t="inlineStr">
        <is>
          <t>[35;50[</t>
        </is>
      </c>
      <c r="E21" s="5" t="inlineStr">
        <is>
          <t>Zimé</t>
        </is>
      </c>
      <c r="F21" s="5" t="inlineStr">
        <is>
          <t>Célibataire</t>
        </is>
      </c>
      <c r="G21" s="5" t="inlineStr">
        <is>
          <t>Primaire</t>
        </is>
      </c>
      <c r="H21" s="5" t="inlineStr">
        <is>
          <t>˂ 5</t>
        </is>
      </c>
      <c r="I21" s="5" t="inlineStr">
        <is>
          <t>Entre 10 et 15 ans</t>
        </is>
      </c>
      <c r="J21" s="5" t="inlineStr">
        <is>
          <t>Lumière plus</t>
        </is>
      </c>
      <c r="K21" s="5" t="n">
        <v>5</v>
      </c>
      <c r="L21" s="5" t="n">
        <v>575000</v>
      </c>
    </row>
    <row r="22">
      <c r="A22" s="6" t="inlineStr">
        <is>
          <t>ID19</t>
        </is>
      </c>
      <c r="B22" s="6" t="inlineStr">
        <is>
          <t>Kongo</t>
        </is>
      </c>
      <c r="C22" s="6" t="inlineStr">
        <is>
          <t>F</t>
        </is>
      </c>
      <c r="D22" s="6" t="inlineStr">
        <is>
          <t>[35;50[</t>
        </is>
      </c>
      <c r="E22" s="6" t="inlineStr">
        <is>
          <t>Badjoué</t>
        </is>
      </c>
      <c r="F22" s="6" t="inlineStr">
        <is>
          <t>Veuve</t>
        </is>
      </c>
      <c r="G22" s="6" t="inlineStr">
        <is>
          <t>Secondaire second cycle</t>
        </is>
      </c>
      <c r="H22" s="6" t="inlineStr">
        <is>
          <t>[5 ; 10[</t>
        </is>
      </c>
      <c r="I22" s="6" t="inlineStr">
        <is>
          <t>Entre 10 et 15 ans</t>
        </is>
      </c>
      <c r="J22" s="6" t="inlineStr">
        <is>
          <t>Lumière plus</t>
        </is>
      </c>
      <c r="K22" s="6" t="n">
        <v>4</v>
      </c>
      <c r="L22" s="6" t="n">
        <v>813000</v>
      </c>
    </row>
    <row r="23">
      <c r="A23" s="5" t="inlineStr">
        <is>
          <t>ID20</t>
        </is>
      </c>
      <c r="B23" s="5" t="inlineStr">
        <is>
          <t>Kongo</t>
        </is>
      </c>
      <c r="C23" s="5" t="inlineStr">
        <is>
          <t>F</t>
        </is>
      </c>
      <c r="D23" s="5" t="inlineStr">
        <is>
          <t>[50;65[</t>
        </is>
      </c>
      <c r="E23" s="5" t="inlineStr">
        <is>
          <t>Zimé</t>
        </is>
      </c>
      <c r="F23" s="5" t="inlineStr">
        <is>
          <t>Veuve</t>
        </is>
      </c>
      <c r="G23" s="5" t="inlineStr">
        <is>
          <t>Primaire</t>
        </is>
      </c>
      <c r="H23" s="5" t="inlineStr">
        <is>
          <t>[5 ; 10[</t>
        </is>
      </c>
      <c r="I23" s="5" t="inlineStr">
        <is>
          <t>Entre 15 et 20 ans</t>
        </is>
      </c>
      <c r="J23" s="5" t="inlineStr">
        <is>
          <t>Lumière plus</t>
        </is>
      </c>
      <c r="K23" s="5" t="n">
        <v>4</v>
      </c>
      <c r="L23" s="5" t="n">
        <v>451500</v>
      </c>
    </row>
    <row r="24">
      <c r="A24" s="6" t="inlineStr">
        <is>
          <t>ID21</t>
        </is>
      </c>
      <c r="B24" s="6" t="inlineStr">
        <is>
          <t>Kongo</t>
        </is>
      </c>
      <c r="C24" s="6" t="inlineStr">
        <is>
          <t>F</t>
        </is>
      </c>
      <c r="D24" s="6" t="inlineStr">
        <is>
          <t>[35;50[</t>
        </is>
      </c>
      <c r="E24" s="6" t="inlineStr">
        <is>
          <t>Zimé</t>
        </is>
      </c>
      <c r="F24" s="6" t="inlineStr">
        <is>
          <t>Marié</t>
        </is>
      </c>
      <c r="G24" s="6" t="inlineStr">
        <is>
          <t>Primaire</t>
        </is>
      </c>
      <c r="H24" s="6" t="inlineStr">
        <is>
          <t>[10 ; 15[</t>
        </is>
      </c>
      <c r="I24" s="6" t="inlineStr">
        <is>
          <t>Entre 5 et 10 ans</t>
        </is>
      </c>
      <c r="J24" s="6" t="inlineStr">
        <is>
          <t>Lumière plus</t>
        </is>
      </c>
      <c r="K24" s="6" t="n">
        <v>3</v>
      </c>
      <c r="L24" s="6" t="n">
        <v>480000</v>
      </c>
    </row>
    <row r="25">
      <c r="A25" s="5" t="inlineStr">
        <is>
          <t>ID22</t>
        </is>
      </c>
      <c r="B25" s="5" t="inlineStr">
        <is>
          <t>Kongo</t>
        </is>
      </c>
      <c r="C25" s="5" t="inlineStr">
        <is>
          <t>F</t>
        </is>
      </c>
      <c r="D25" s="5" t="inlineStr">
        <is>
          <t>[18;35[</t>
        </is>
      </c>
      <c r="E25" s="5" t="inlineStr">
        <is>
          <t>Zimé</t>
        </is>
      </c>
      <c r="F25" s="5" t="inlineStr">
        <is>
          <t>Célibataire</t>
        </is>
      </c>
      <c r="G25" s="5" t="inlineStr">
        <is>
          <t>Primaire</t>
        </is>
      </c>
      <c r="H25" s="5" t="inlineStr">
        <is>
          <t>[5 ; 10[</t>
        </is>
      </c>
      <c r="I25" s="5" t="inlineStr">
        <is>
          <t>Entre 10 et 15 ans</t>
        </is>
      </c>
      <c r="J25" s="5" t="inlineStr">
        <is>
          <t>Lumière plus</t>
        </is>
      </c>
      <c r="K25" s="5" t="n">
        <v>6</v>
      </c>
      <c r="L25" s="5" t="n">
        <v>774250</v>
      </c>
    </row>
    <row r="26">
      <c r="A26" s="6" t="inlineStr">
        <is>
          <t>ID23</t>
        </is>
      </c>
      <c r="B26" s="6" t="inlineStr">
        <is>
          <t>Kongo</t>
        </is>
      </c>
      <c r="C26" s="6" t="inlineStr">
        <is>
          <t>M</t>
        </is>
      </c>
      <c r="D26" s="6" t="inlineStr">
        <is>
          <t>[50;65[</t>
        </is>
      </c>
      <c r="E26" s="6" t="inlineStr">
        <is>
          <t>Zimé</t>
        </is>
      </c>
      <c r="F26" s="6" t="inlineStr">
        <is>
          <t>Marié</t>
        </is>
      </c>
      <c r="G26" s="6" t="inlineStr">
        <is>
          <t>Secondaire premier cycle</t>
        </is>
      </c>
      <c r="H26" s="6" t="inlineStr">
        <is>
          <t>≥ 15</t>
        </is>
      </c>
      <c r="I26" s="6" t="inlineStr">
        <is>
          <t>Entre 15 et 20 ans</t>
        </is>
      </c>
      <c r="J26" s="6" t="inlineStr">
        <is>
          <t>Lumière plus</t>
        </is>
      </c>
      <c r="K26" s="6" t="n">
        <v>5</v>
      </c>
      <c r="L26" s="6" t="n">
        <v>980000</v>
      </c>
    </row>
    <row r="27">
      <c r="A27" s="5" t="inlineStr">
        <is>
          <t>ID24</t>
        </is>
      </c>
      <c r="B27" s="5" t="inlineStr">
        <is>
          <t>Kongo</t>
        </is>
      </c>
      <c r="C27" s="5" t="inlineStr">
        <is>
          <t>M</t>
        </is>
      </c>
      <c r="D27" s="5" t="inlineStr">
        <is>
          <t>[65;80[</t>
        </is>
      </c>
      <c r="E27" s="5" t="inlineStr">
        <is>
          <t>Zimé</t>
        </is>
      </c>
      <c r="F27" s="5" t="inlineStr">
        <is>
          <t>Marié</t>
        </is>
      </c>
      <c r="G27" s="5" t="inlineStr">
        <is>
          <t>Primaire</t>
        </is>
      </c>
      <c r="H27" s="5" t="inlineStr">
        <is>
          <t>[5 ; 10[</t>
        </is>
      </c>
      <c r="I27" s="5" t="inlineStr">
        <is>
          <t>Entre 10 et 15 ans</t>
        </is>
      </c>
      <c r="J27" s="5" t="inlineStr">
        <is>
          <t>Lumière plus</t>
        </is>
      </c>
      <c r="K27" s="5" t="n">
        <v>4</v>
      </c>
      <c r="L27" s="5" t="n">
        <v>994000</v>
      </c>
    </row>
    <row r="28">
      <c r="A28" s="6" t="inlineStr">
        <is>
          <t>ID25</t>
        </is>
      </c>
      <c r="B28" s="6" t="inlineStr">
        <is>
          <t>Kongo</t>
        </is>
      </c>
      <c r="C28" s="6" t="inlineStr">
        <is>
          <t>F</t>
        </is>
      </c>
      <c r="D28" s="6" t="inlineStr">
        <is>
          <t>[50;65[</t>
        </is>
      </c>
      <c r="E28" s="6" t="inlineStr">
        <is>
          <t>Zimé</t>
        </is>
      </c>
      <c r="F28" s="6" t="inlineStr">
        <is>
          <t>Veuve</t>
        </is>
      </c>
      <c r="G28" s="6" t="inlineStr">
        <is>
          <t>Secondaire premier cycle</t>
        </is>
      </c>
      <c r="H28" s="6" t="inlineStr">
        <is>
          <t>[10 ; 15[</t>
        </is>
      </c>
      <c r="I28" s="6" t="inlineStr">
        <is>
          <t>Entre 15 et 20 ans</t>
        </is>
      </c>
      <c r="J28" s="6" t="inlineStr">
        <is>
          <t>Lumière plus</t>
        </is>
      </c>
      <c r="K28" s="6" t="n">
        <v>5</v>
      </c>
      <c r="L28" s="6" t="n">
        <v>254000</v>
      </c>
    </row>
    <row r="29">
      <c r="A29" s="5" t="inlineStr">
        <is>
          <t>ID26</t>
        </is>
      </c>
      <c r="B29" s="5" t="inlineStr">
        <is>
          <t>Kongo</t>
        </is>
      </c>
      <c r="C29" s="5" t="inlineStr">
        <is>
          <t>F</t>
        </is>
      </c>
      <c r="D29" s="5" t="inlineStr">
        <is>
          <t>[35;50[</t>
        </is>
      </c>
      <c r="E29" s="5" t="inlineStr">
        <is>
          <t>Maka</t>
        </is>
      </c>
      <c r="F29" s="5" t="inlineStr">
        <is>
          <t>Marié</t>
        </is>
      </c>
      <c r="G29" s="5" t="inlineStr">
        <is>
          <t>Secondaire premier cycle</t>
        </is>
      </c>
      <c r="H29" s="5" t="inlineStr">
        <is>
          <t>˂ 5</t>
        </is>
      </c>
      <c r="I29" s="5" t="inlineStr">
        <is>
          <t>Entre 10 et 15 ans</t>
        </is>
      </c>
      <c r="J29" s="5" t="inlineStr">
        <is>
          <t>Lumière plus</t>
        </is>
      </c>
      <c r="K29" s="5" t="n">
        <v>4</v>
      </c>
      <c r="L29" s="5" t="n">
        <v>1305000</v>
      </c>
    </row>
    <row r="30">
      <c r="A30" s="6" t="inlineStr">
        <is>
          <t>ID27</t>
        </is>
      </c>
      <c r="B30" s="6" t="inlineStr">
        <is>
          <t>Kongo</t>
        </is>
      </c>
      <c r="C30" s="6" t="inlineStr">
        <is>
          <t>F</t>
        </is>
      </c>
      <c r="D30" s="6" t="inlineStr">
        <is>
          <t>[35;50[</t>
        </is>
      </c>
      <c r="E30" s="6" t="inlineStr">
        <is>
          <t>Zimé</t>
        </is>
      </c>
      <c r="F30" s="6" t="inlineStr">
        <is>
          <t>Célibataire</t>
        </is>
      </c>
      <c r="G30" s="6" t="inlineStr">
        <is>
          <t>Primaire</t>
        </is>
      </c>
      <c r="H30" s="6" t="inlineStr">
        <is>
          <t>[5 ; 10[</t>
        </is>
      </c>
      <c r="I30" s="6" t="inlineStr">
        <is>
          <t>Entre 15 et 20 ans</t>
        </is>
      </c>
      <c r="J30" s="6" t="inlineStr">
        <is>
          <t>Lumière plus</t>
        </is>
      </c>
      <c r="K30" s="6" t="n">
        <v>3</v>
      </c>
      <c r="L30" s="6" t="n">
        <v>673000</v>
      </c>
    </row>
    <row r="31">
      <c r="A31" s="5" t="inlineStr">
        <is>
          <t>ID28</t>
        </is>
      </c>
      <c r="B31" s="5" t="inlineStr">
        <is>
          <t>Kongo</t>
        </is>
      </c>
      <c r="C31" s="5" t="inlineStr">
        <is>
          <t>F</t>
        </is>
      </c>
      <c r="D31" s="5" t="inlineStr">
        <is>
          <t>[35;50[</t>
        </is>
      </c>
      <c r="E31" s="5" t="inlineStr">
        <is>
          <t>Zimé</t>
        </is>
      </c>
      <c r="F31" s="5" t="inlineStr">
        <is>
          <t>Marié</t>
        </is>
      </c>
      <c r="G31" s="5" t="inlineStr">
        <is>
          <t>Aucun</t>
        </is>
      </c>
      <c r="H31" s="5" t="inlineStr">
        <is>
          <t>[5 ; 10[</t>
        </is>
      </c>
      <c r="I31" s="5" t="inlineStr">
        <is>
          <t>Plus de 20 ans</t>
        </is>
      </c>
      <c r="J31" s="5" t="inlineStr">
        <is>
          <t>Lumière plus</t>
        </is>
      </c>
      <c r="K31" s="5" t="n">
        <v>6</v>
      </c>
      <c r="L31" s="5" t="n">
        <v>1145000</v>
      </c>
    </row>
    <row r="32">
      <c r="A32" s="6" t="inlineStr">
        <is>
          <t>ID29</t>
        </is>
      </c>
      <c r="B32" s="6" t="inlineStr">
        <is>
          <t>Kongo</t>
        </is>
      </c>
      <c r="C32" s="6" t="inlineStr">
        <is>
          <t>F</t>
        </is>
      </c>
      <c r="D32" s="6" t="inlineStr">
        <is>
          <t>[35;50[</t>
        </is>
      </c>
      <c r="E32" s="6" t="inlineStr">
        <is>
          <t>Zimé</t>
        </is>
      </c>
      <c r="F32" s="6" t="inlineStr">
        <is>
          <t>Veuve</t>
        </is>
      </c>
      <c r="G32" s="6" t="inlineStr">
        <is>
          <t>Primaire</t>
        </is>
      </c>
      <c r="H32" s="6" t="inlineStr">
        <is>
          <t>[10 ; 15[</t>
        </is>
      </c>
      <c r="I32" s="6" t="inlineStr">
        <is>
          <t>Moins de 5 ans</t>
        </is>
      </c>
      <c r="J32" s="6" t="inlineStr">
        <is>
          <t>Lumière plus</t>
        </is>
      </c>
      <c r="K32" s="6" t="n">
        <v>1</v>
      </c>
      <c r="L32" s="6" t="n">
        <v>75000</v>
      </c>
    </row>
    <row r="33">
      <c r="A33" s="5" t="inlineStr">
        <is>
          <t>ID30</t>
        </is>
      </c>
      <c r="B33" s="5" t="inlineStr">
        <is>
          <t>Kongo</t>
        </is>
      </c>
      <c r="C33" s="5" t="inlineStr">
        <is>
          <t>F</t>
        </is>
      </c>
      <c r="D33" s="5" t="inlineStr">
        <is>
          <t>[35;50[</t>
        </is>
      </c>
      <c r="E33" s="5" t="inlineStr">
        <is>
          <t>Mezimé</t>
        </is>
      </c>
      <c r="F33" s="5" t="inlineStr">
        <is>
          <t>Marié</t>
        </is>
      </c>
      <c r="G33" s="5" t="inlineStr">
        <is>
          <t>Secondaire premier cycle</t>
        </is>
      </c>
      <c r="H33" s="5" t="inlineStr">
        <is>
          <t>[10 ; 15[</t>
        </is>
      </c>
      <c r="I33" s="5" t="inlineStr">
        <is>
          <t>Entre 5 et 10 ans</t>
        </is>
      </c>
      <c r="J33" s="5" t="inlineStr">
        <is>
          <t>Lumière plus</t>
        </is>
      </c>
      <c r="K33" s="5" t="n">
        <v>9</v>
      </c>
      <c r="L33" s="5" t="n">
        <v>1687500</v>
      </c>
    </row>
    <row r="34">
      <c r="A34" s="6" t="inlineStr">
        <is>
          <t>ID31</t>
        </is>
      </c>
      <c r="B34" s="6" t="inlineStr">
        <is>
          <t>Kongo</t>
        </is>
      </c>
      <c r="C34" s="6" t="inlineStr">
        <is>
          <t>F</t>
        </is>
      </c>
      <c r="D34" s="6" t="inlineStr">
        <is>
          <t>[18;35[</t>
        </is>
      </c>
      <c r="E34" s="6" t="inlineStr">
        <is>
          <t>Zimé</t>
        </is>
      </c>
      <c r="F34" s="6" t="inlineStr">
        <is>
          <t>Veuve</t>
        </is>
      </c>
      <c r="G34" s="6" t="inlineStr">
        <is>
          <t>Secondaire premier cycle</t>
        </is>
      </c>
      <c r="H34" s="6" t="inlineStr">
        <is>
          <t>[5 ; 10[</t>
        </is>
      </c>
      <c r="I34" s="6" t="inlineStr">
        <is>
          <t>Moins de 5 ans</t>
        </is>
      </c>
      <c r="J34" s="6" t="inlineStr">
        <is>
          <t>Lumière plus</t>
        </is>
      </c>
      <c r="K34" s="6" t="n">
        <v>2</v>
      </c>
      <c r="L34" s="6" t="n">
        <v>300000</v>
      </c>
    </row>
    <row r="35">
      <c r="A35" s="5" t="inlineStr">
        <is>
          <t>ID32</t>
        </is>
      </c>
      <c r="B35" s="5" t="inlineStr">
        <is>
          <t>Kongo</t>
        </is>
      </c>
      <c r="C35" s="5" t="inlineStr">
        <is>
          <t>F</t>
        </is>
      </c>
      <c r="D35" s="5" t="inlineStr">
        <is>
          <t>[35;50[</t>
        </is>
      </c>
      <c r="E35" s="5" t="inlineStr">
        <is>
          <t>Zimé</t>
        </is>
      </c>
      <c r="F35" s="5" t="inlineStr">
        <is>
          <t>Divorcé</t>
        </is>
      </c>
      <c r="G35" s="5" t="inlineStr">
        <is>
          <t>Primaire</t>
        </is>
      </c>
      <c r="H35" s="5" t="inlineStr">
        <is>
          <t>[5 ; 10[</t>
        </is>
      </c>
      <c r="I35" s="5" t="inlineStr">
        <is>
          <t>Plus de 20 ans</t>
        </is>
      </c>
      <c r="J35" s="5" t="inlineStr">
        <is>
          <t>Lumière plus</t>
        </is>
      </c>
      <c r="K35" s="5" t="n">
        <v>4</v>
      </c>
      <c r="L35" s="5" t="n">
        <v>476250</v>
      </c>
    </row>
    <row r="36">
      <c r="A36" s="6" t="inlineStr">
        <is>
          <t>ID33</t>
        </is>
      </c>
      <c r="B36" s="6" t="inlineStr">
        <is>
          <t>Kongo</t>
        </is>
      </c>
      <c r="C36" s="6" t="inlineStr">
        <is>
          <t>F</t>
        </is>
      </c>
      <c r="D36" s="6" t="inlineStr">
        <is>
          <t>[35;50[</t>
        </is>
      </c>
      <c r="E36" s="6" t="inlineStr">
        <is>
          <t>Zimé</t>
        </is>
      </c>
      <c r="F36" s="6" t="inlineStr">
        <is>
          <t>Marié</t>
        </is>
      </c>
      <c r="G36" s="6" t="inlineStr">
        <is>
          <t>Secondaire premier cycle</t>
        </is>
      </c>
      <c r="H36" s="6" t="inlineStr">
        <is>
          <t>[5 ; 10[</t>
        </is>
      </c>
      <c r="I36" s="6" t="inlineStr">
        <is>
          <t>Entre 5 et 10 ans</t>
        </is>
      </c>
      <c r="J36" s="6" t="inlineStr">
        <is>
          <t>Lumière plus</t>
        </is>
      </c>
      <c r="K36" s="6" t="n">
        <v>3</v>
      </c>
      <c r="L36" s="6" t="n">
        <v>636500</v>
      </c>
    </row>
    <row r="37">
      <c r="A37" s="5" t="inlineStr">
        <is>
          <t>ID34</t>
        </is>
      </c>
      <c r="B37" s="5" t="inlineStr">
        <is>
          <t>Kongo</t>
        </is>
      </c>
      <c r="C37" s="5" t="inlineStr">
        <is>
          <t>F</t>
        </is>
      </c>
      <c r="D37" s="5" t="inlineStr">
        <is>
          <t>[50;65[</t>
        </is>
      </c>
      <c r="E37" s="5" t="inlineStr">
        <is>
          <t>Zimé</t>
        </is>
      </c>
      <c r="F37" s="5" t="inlineStr">
        <is>
          <t>Veuve</t>
        </is>
      </c>
      <c r="G37" s="5" t="inlineStr">
        <is>
          <t>Secondaire premier cycle</t>
        </is>
      </c>
      <c r="H37" s="5" t="inlineStr">
        <is>
          <t>≥ 15</t>
        </is>
      </c>
      <c r="I37" s="5" t="inlineStr">
        <is>
          <t>Entre 15 et 20 ans</t>
        </is>
      </c>
      <c r="J37" s="5" t="inlineStr">
        <is>
          <t>Lumière plus</t>
        </is>
      </c>
      <c r="K37" s="5" t="n">
        <v>3</v>
      </c>
      <c r="L37" s="5" t="n">
        <v>471750</v>
      </c>
    </row>
    <row r="38">
      <c r="A38" s="6" t="inlineStr">
        <is>
          <t>ID35</t>
        </is>
      </c>
      <c r="B38" s="6" t="inlineStr">
        <is>
          <t>Kongo</t>
        </is>
      </c>
      <c r="C38" s="6" t="inlineStr">
        <is>
          <t>F</t>
        </is>
      </c>
      <c r="D38" s="6" t="inlineStr">
        <is>
          <t>[35;50[</t>
        </is>
      </c>
      <c r="E38" s="6" t="inlineStr">
        <is>
          <t>Zimé</t>
        </is>
      </c>
      <c r="F38" s="6" t="inlineStr">
        <is>
          <t>Marié</t>
        </is>
      </c>
      <c r="G38" s="6" t="inlineStr">
        <is>
          <t>Secondaire premier cycle</t>
        </is>
      </c>
      <c r="H38" s="6" t="inlineStr">
        <is>
          <t>[5 ; 10[</t>
        </is>
      </c>
      <c r="I38" s="6" t="inlineStr">
        <is>
          <t>Moins de 5 ans</t>
        </is>
      </c>
      <c r="J38" s="6" t="inlineStr">
        <is>
          <t>Lumière plus</t>
        </is>
      </c>
      <c r="K38" s="6" t="n">
        <v>7</v>
      </c>
      <c r="L38" s="6" t="n">
        <v>292500</v>
      </c>
    </row>
    <row r="39">
      <c r="A39" s="5" t="inlineStr">
        <is>
          <t>ID36</t>
        </is>
      </c>
      <c r="B39" s="5" t="inlineStr">
        <is>
          <t>Kongo</t>
        </is>
      </c>
      <c r="C39" s="5" t="inlineStr">
        <is>
          <t>F</t>
        </is>
      </c>
      <c r="D39" s="5" t="inlineStr">
        <is>
          <t>[50;65[</t>
        </is>
      </c>
      <c r="E39" s="5" t="inlineStr">
        <is>
          <t>Zimé</t>
        </is>
      </c>
      <c r="F39" s="5" t="inlineStr">
        <is>
          <t>Marié</t>
        </is>
      </c>
      <c r="G39" s="5" t="inlineStr">
        <is>
          <t>Primaire</t>
        </is>
      </c>
      <c r="H39" s="5" t="inlineStr">
        <is>
          <t>˂ 5</t>
        </is>
      </c>
      <c r="I39" s="5" t="inlineStr">
        <is>
          <t>Moins de 5 ans</t>
        </is>
      </c>
      <c r="J39" s="5" t="inlineStr">
        <is>
          <t>Lumière plus</t>
        </is>
      </c>
      <c r="K39" s="5" t="n">
        <v>4</v>
      </c>
      <c r="L39" s="5" t="n">
        <v>145500</v>
      </c>
    </row>
    <row r="40">
      <c r="A40" s="6" t="inlineStr">
        <is>
          <t>ID37</t>
        </is>
      </c>
      <c r="B40" s="6" t="inlineStr">
        <is>
          <t>Kongo</t>
        </is>
      </c>
      <c r="C40" s="6" t="inlineStr">
        <is>
          <t>F</t>
        </is>
      </c>
      <c r="D40" s="6" t="inlineStr">
        <is>
          <t>[50;65[</t>
        </is>
      </c>
      <c r="E40" s="6" t="inlineStr">
        <is>
          <t>Zimé</t>
        </is>
      </c>
      <c r="F40" s="6" t="inlineStr">
        <is>
          <t>Veuve</t>
        </is>
      </c>
      <c r="G40" s="6" t="inlineStr">
        <is>
          <t>Secondaire premier cycle</t>
        </is>
      </c>
      <c r="H40" s="6" t="inlineStr">
        <is>
          <t>[5 ; 10[</t>
        </is>
      </c>
      <c r="I40" s="6" t="inlineStr">
        <is>
          <t>Plus de 20 ans</t>
        </is>
      </c>
      <c r="J40" s="6" t="inlineStr">
        <is>
          <t>Lumière plus</t>
        </is>
      </c>
      <c r="K40" s="6" t="n">
        <v>3</v>
      </c>
      <c r="L40" s="6" t="n">
        <v>582500</v>
      </c>
    </row>
    <row r="41">
      <c r="A41" s="5" t="inlineStr">
        <is>
          <t>ID38</t>
        </is>
      </c>
      <c r="B41" s="5" t="inlineStr">
        <is>
          <t>Kongo</t>
        </is>
      </c>
      <c r="C41" s="5" t="inlineStr">
        <is>
          <t>M</t>
        </is>
      </c>
      <c r="D41" s="5" t="inlineStr">
        <is>
          <t>[50;65[</t>
        </is>
      </c>
      <c r="E41" s="5" t="inlineStr">
        <is>
          <t>Zimé</t>
        </is>
      </c>
      <c r="F41" s="5" t="inlineStr">
        <is>
          <t>Marié</t>
        </is>
      </c>
      <c r="G41" s="5" t="inlineStr">
        <is>
          <t>Secondaire second cycle</t>
        </is>
      </c>
      <c r="H41" s="5" t="inlineStr">
        <is>
          <t>≥ 15</t>
        </is>
      </c>
      <c r="I41" s="5" t="inlineStr">
        <is>
          <t>Entre 5 et 10 ans</t>
        </is>
      </c>
      <c r="J41" s="5" t="inlineStr">
        <is>
          <t>PLACKO</t>
        </is>
      </c>
      <c r="K41" s="5" t="n">
        <v>3</v>
      </c>
      <c r="L41" s="5" t="n">
        <v>615000</v>
      </c>
    </row>
    <row r="42">
      <c r="A42" s="6" t="inlineStr">
        <is>
          <t>ID39</t>
        </is>
      </c>
      <c r="B42" s="6" t="inlineStr">
        <is>
          <t>Kongo</t>
        </is>
      </c>
      <c r="C42" s="6" t="inlineStr">
        <is>
          <t>M</t>
        </is>
      </c>
      <c r="D42" s="6" t="inlineStr">
        <is>
          <t>[65;80[</t>
        </is>
      </c>
      <c r="E42" s="6" t="inlineStr">
        <is>
          <t>Zimé</t>
        </is>
      </c>
      <c r="F42" s="6" t="inlineStr">
        <is>
          <t>Marié</t>
        </is>
      </c>
      <c r="G42" s="6" t="inlineStr">
        <is>
          <t>Primaire</t>
        </is>
      </c>
      <c r="H42" s="6" t="inlineStr">
        <is>
          <t>[5 ; 10[</t>
        </is>
      </c>
      <c r="I42" s="6" t="inlineStr">
        <is>
          <t>Entre 15 et 20 ans</t>
        </is>
      </c>
      <c r="J42" s="6" t="inlineStr">
        <is>
          <t>PLACKO</t>
        </is>
      </c>
      <c r="K42" s="6" t="n">
        <v>6</v>
      </c>
      <c r="L42" s="6" t="n">
        <v>684500</v>
      </c>
    </row>
    <row r="43">
      <c r="A43" s="5" t="inlineStr">
        <is>
          <t>ID40</t>
        </is>
      </c>
      <c r="B43" s="5" t="inlineStr">
        <is>
          <t>Kongo</t>
        </is>
      </c>
      <c r="C43" s="5" t="inlineStr">
        <is>
          <t>M</t>
        </is>
      </c>
      <c r="D43" s="5" t="inlineStr">
        <is>
          <t>[50;65[</t>
        </is>
      </c>
      <c r="E43" s="5" t="inlineStr">
        <is>
          <t>Zimé</t>
        </is>
      </c>
      <c r="F43" s="5" t="inlineStr">
        <is>
          <t>Marié</t>
        </is>
      </c>
      <c r="G43" s="5" t="inlineStr">
        <is>
          <t>Primaire</t>
        </is>
      </c>
      <c r="H43" s="5" t="inlineStr">
        <is>
          <t>[5 ; 10[</t>
        </is>
      </c>
      <c r="I43" s="5" t="inlineStr">
        <is>
          <t>Plus de 20 ans</t>
        </is>
      </c>
      <c r="J43" s="5" t="inlineStr">
        <is>
          <t>PLACKO</t>
        </is>
      </c>
      <c r="K43" s="5" t="n">
        <v>4</v>
      </c>
      <c r="L43" s="5" t="n">
        <v>792500</v>
      </c>
    </row>
    <row r="44">
      <c r="A44" s="6" t="inlineStr">
        <is>
          <t>ID41</t>
        </is>
      </c>
      <c r="B44" s="6" t="inlineStr">
        <is>
          <t>Kongo</t>
        </is>
      </c>
      <c r="C44" s="6" t="inlineStr">
        <is>
          <t>M</t>
        </is>
      </c>
      <c r="D44" s="6" t="inlineStr">
        <is>
          <t>[18;35[</t>
        </is>
      </c>
      <c r="E44" s="6" t="inlineStr">
        <is>
          <t>Zimé</t>
        </is>
      </c>
      <c r="F44" s="6" t="inlineStr">
        <is>
          <t>Marié</t>
        </is>
      </c>
      <c r="G44" s="6" t="inlineStr">
        <is>
          <t>Secondaire second cycle</t>
        </is>
      </c>
      <c r="H44" s="6" t="inlineStr">
        <is>
          <t>[5 ; 10[</t>
        </is>
      </c>
      <c r="I44" s="6" t="inlineStr">
        <is>
          <t>Entre 10 et 15 ans</t>
        </is>
      </c>
      <c r="J44" s="6" t="inlineStr">
        <is>
          <t>PLACKO</t>
        </is>
      </c>
      <c r="K44" s="6" t="n">
        <v>3</v>
      </c>
      <c r="L44" s="6" t="n">
        <v>594250</v>
      </c>
    </row>
    <row r="45">
      <c r="A45" s="5" t="inlineStr">
        <is>
          <t>ID42</t>
        </is>
      </c>
      <c r="B45" s="5" t="inlineStr">
        <is>
          <t>Kongo</t>
        </is>
      </c>
      <c r="C45" s="5" t="inlineStr">
        <is>
          <t>M</t>
        </is>
      </c>
      <c r="D45" s="5" t="inlineStr">
        <is>
          <t>[50;65[</t>
        </is>
      </c>
      <c r="E45" s="5" t="inlineStr">
        <is>
          <t>Zimé</t>
        </is>
      </c>
      <c r="F45" s="5" t="inlineStr">
        <is>
          <t>Marié</t>
        </is>
      </c>
      <c r="G45" s="5" t="inlineStr">
        <is>
          <t>Secondaire premier cycle</t>
        </is>
      </c>
      <c r="H45" s="5" t="inlineStr">
        <is>
          <t>[5 ; 10[</t>
        </is>
      </c>
      <c r="I45" s="5" t="inlineStr">
        <is>
          <t>Entre 15 et 20 ans</t>
        </is>
      </c>
      <c r="J45" s="5" t="inlineStr">
        <is>
          <t>PLACKO</t>
        </is>
      </c>
      <c r="K45" s="5" t="n">
        <v>3</v>
      </c>
      <c r="L45" s="5" t="n">
        <v>1258000</v>
      </c>
    </row>
    <row r="46">
      <c r="A46" s="6" t="inlineStr">
        <is>
          <t>ID43</t>
        </is>
      </c>
      <c r="B46" s="6" t="inlineStr">
        <is>
          <t>Kongo</t>
        </is>
      </c>
      <c r="C46" s="6" t="inlineStr">
        <is>
          <t>M</t>
        </is>
      </c>
      <c r="D46" s="6" t="inlineStr">
        <is>
          <t>[50;65[</t>
        </is>
      </c>
      <c r="E46" s="6" t="inlineStr">
        <is>
          <t>Zimé</t>
        </is>
      </c>
      <c r="F46" s="6" t="inlineStr">
        <is>
          <t>Marié</t>
        </is>
      </c>
      <c r="G46" s="6" t="inlineStr">
        <is>
          <t>Secondaire premier cycle</t>
        </is>
      </c>
      <c r="H46" s="6" t="inlineStr">
        <is>
          <t>[5 ; 10[</t>
        </is>
      </c>
      <c r="I46" s="6" t="inlineStr">
        <is>
          <t>Entre 15 et 20 ans</t>
        </is>
      </c>
      <c r="J46" s="6" t="inlineStr">
        <is>
          <t>PLACKO</t>
        </is>
      </c>
      <c r="K46" s="6" t="n">
        <v>3</v>
      </c>
      <c r="L46" s="6" t="n">
        <v>915000</v>
      </c>
    </row>
    <row r="47">
      <c r="A47" s="5" t="inlineStr">
        <is>
          <t>ID44</t>
        </is>
      </c>
      <c r="B47" s="5" t="inlineStr">
        <is>
          <t>Malen</t>
        </is>
      </c>
      <c r="C47" s="5" t="inlineStr">
        <is>
          <t>M</t>
        </is>
      </c>
      <c r="D47" s="5" t="inlineStr">
        <is>
          <t>[50;65[</t>
        </is>
      </c>
      <c r="E47" s="5" t="inlineStr">
        <is>
          <t>Mambila</t>
        </is>
      </c>
      <c r="F47" s="5" t="inlineStr">
        <is>
          <t>Marié</t>
        </is>
      </c>
      <c r="G47" s="5" t="inlineStr">
        <is>
          <t>Secondaire premier cycle</t>
        </is>
      </c>
      <c r="H47" s="5" t="inlineStr">
        <is>
          <t>[5 ; 10[</t>
        </is>
      </c>
      <c r="I47" s="5" t="inlineStr">
        <is>
          <t>Entre 15 et 20 ans</t>
        </is>
      </c>
      <c r="J47" s="5" t="inlineStr">
        <is>
          <t>PLACKO</t>
        </is>
      </c>
      <c r="K47" s="5" t="n">
        <v>6</v>
      </c>
      <c r="L47" s="5" t="n">
        <v>846000</v>
      </c>
    </row>
    <row r="48">
      <c r="A48" s="6" t="inlineStr">
        <is>
          <t>ID45</t>
        </is>
      </c>
      <c r="B48" s="6" t="inlineStr">
        <is>
          <t>Eschambior</t>
        </is>
      </c>
      <c r="C48" s="6" t="inlineStr">
        <is>
          <t>F</t>
        </is>
      </c>
      <c r="D48" s="6" t="inlineStr">
        <is>
          <t>[65;80[</t>
        </is>
      </c>
      <c r="E48" s="6" t="inlineStr">
        <is>
          <t>Kako</t>
        </is>
      </c>
      <c r="F48" s="6" t="inlineStr">
        <is>
          <t>Divorcé</t>
        </is>
      </c>
      <c r="G48" s="6" t="inlineStr">
        <is>
          <t>Primaire</t>
        </is>
      </c>
      <c r="H48" s="6" t="inlineStr">
        <is>
          <t>[5 ; 10[</t>
        </is>
      </c>
      <c r="I48" s="6" t="inlineStr">
        <is>
          <t>Plus de 20 ans</t>
        </is>
      </c>
      <c r="J48" s="6" t="inlineStr">
        <is>
          <t>Femmes Dynamiques</t>
        </is>
      </c>
      <c r="K48" s="6" t="n">
        <v>3</v>
      </c>
      <c r="L48" s="6" t="n">
        <v>211500</v>
      </c>
    </row>
    <row r="49">
      <c r="A49" s="5" t="inlineStr">
        <is>
          <t>ID46</t>
        </is>
      </c>
      <c r="B49" s="5" t="inlineStr">
        <is>
          <t>Eschambior</t>
        </is>
      </c>
      <c r="C49" s="5" t="inlineStr">
        <is>
          <t>F</t>
        </is>
      </c>
      <c r="D49" s="5" t="inlineStr">
        <is>
          <t>[35;50[</t>
        </is>
      </c>
      <c r="E49" s="5" t="inlineStr">
        <is>
          <t>Zimé</t>
        </is>
      </c>
      <c r="F49" s="5" t="inlineStr">
        <is>
          <t>Marié</t>
        </is>
      </c>
      <c r="G49" s="5" t="inlineStr">
        <is>
          <t>Secondaire premier cycle</t>
        </is>
      </c>
      <c r="H49" s="5" t="inlineStr">
        <is>
          <t>[5 ; 10[</t>
        </is>
      </c>
      <c r="I49" s="5" t="inlineStr">
        <is>
          <t>Moins de 5 ans</t>
        </is>
      </c>
      <c r="J49" s="5" t="inlineStr">
        <is>
          <t>Femmes Dynamiques</t>
        </is>
      </c>
      <c r="K49" s="5" t="n">
        <v>3</v>
      </c>
      <c r="L49" s="5" t="n">
        <v>309000</v>
      </c>
    </row>
    <row r="50">
      <c r="A50" s="6" t="inlineStr">
        <is>
          <t>ID47</t>
        </is>
      </c>
      <c r="B50" s="6" t="inlineStr">
        <is>
          <t>Eschambior</t>
        </is>
      </c>
      <c r="C50" s="6" t="inlineStr">
        <is>
          <t>F</t>
        </is>
      </c>
      <c r="D50" s="6" t="inlineStr">
        <is>
          <t>[50;65[</t>
        </is>
      </c>
      <c r="E50" s="6" t="inlineStr">
        <is>
          <t>Zimé</t>
        </is>
      </c>
      <c r="F50" s="6" t="inlineStr">
        <is>
          <t>Célibataire</t>
        </is>
      </c>
      <c r="G50" s="6" t="inlineStr">
        <is>
          <t>Secondaire premier cycle</t>
        </is>
      </c>
      <c r="H50" s="6" t="inlineStr">
        <is>
          <t>[5 ; 10[</t>
        </is>
      </c>
      <c r="I50" s="6" t="inlineStr">
        <is>
          <t>Moins de 5 ans</t>
        </is>
      </c>
      <c r="J50" s="6" t="inlineStr">
        <is>
          <t>Femmes Dynamiques</t>
        </is>
      </c>
      <c r="K50" s="6" t="n">
        <v>4</v>
      </c>
      <c r="L50" s="6" t="n">
        <v>231000</v>
      </c>
    </row>
    <row r="51">
      <c r="A51" s="5" t="inlineStr">
        <is>
          <t>ID48</t>
        </is>
      </c>
      <c r="B51" s="5" t="inlineStr">
        <is>
          <t>Eschambior</t>
        </is>
      </c>
      <c r="C51" s="5" t="inlineStr">
        <is>
          <t>F</t>
        </is>
      </c>
      <c r="D51" s="5" t="inlineStr">
        <is>
          <t>[50;65[</t>
        </is>
      </c>
      <c r="E51" s="5" t="inlineStr">
        <is>
          <t>Zimé</t>
        </is>
      </c>
      <c r="F51" s="5" t="inlineStr">
        <is>
          <t>Célibataire</t>
        </is>
      </c>
      <c r="G51" s="5" t="inlineStr">
        <is>
          <t>Secondaire premier cycle</t>
        </is>
      </c>
      <c r="H51" s="5" t="inlineStr">
        <is>
          <t>[10 ; 15[</t>
        </is>
      </c>
      <c r="I51" s="5" t="inlineStr">
        <is>
          <t>Entre 10 et 15 ans</t>
        </is>
      </c>
      <c r="J51" s="5" t="inlineStr">
        <is>
          <t>Femmes Dynamiques</t>
        </is>
      </c>
      <c r="K51" s="5" t="n">
        <v>3</v>
      </c>
      <c r="L51" s="5" t="n">
        <v>517500</v>
      </c>
    </row>
    <row r="52">
      <c r="A52" s="6" t="inlineStr">
        <is>
          <t>ID49</t>
        </is>
      </c>
      <c r="B52" s="6" t="inlineStr">
        <is>
          <t>Eschambior</t>
        </is>
      </c>
      <c r="C52" s="6" t="inlineStr">
        <is>
          <t>F</t>
        </is>
      </c>
      <c r="D52" s="6" t="inlineStr">
        <is>
          <t>[50;65[</t>
        </is>
      </c>
      <c r="E52" s="6" t="inlineStr">
        <is>
          <t>Zimé</t>
        </is>
      </c>
      <c r="F52" s="6" t="inlineStr">
        <is>
          <t>Veuve</t>
        </is>
      </c>
      <c r="G52" s="6" t="inlineStr">
        <is>
          <t>Secondaire premier cycle</t>
        </is>
      </c>
      <c r="H52" s="6" t="inlineStr">
        <is>
          <t>[5 ; 10[</t>
        </is>
      </c>
      <c r="I52" s="6" t="inlineStr">
        <is>
          <t>Moins de 5 ans</t>
        </is>
      </c>
      <c r="J52" s="6" t="inlineStr">
        <is>
          <t>Femmes Dynamiques</t>
        </is>
      </c>
      <c r="K52" s="6" t="n">
        <v>2</v>
      </c>
      <c r="L52" s="6" t="n">
        <v>75500</v>
      </c>
    </row>
    <row r="53">
      <c r="A53" s="5" t="inlineStr">
        <is>
          <t>ID50</t>
        </is>
      </c>
      <c r="B53" s="5" t="inlineStr">
        <is>
          <t>Eschambior</t>
        </is>
      </c>
      <c r="C53" s="5" t="inlineStr">
        <is>
          <t>F</t>
        </is>
      </c>
      <c r="D53" s="5" t="inlineStr">
        <is>
          <t>[50;65[</t>
        </is>
      </c>
      <c r="E53" s="5" t="inlineStr">
        <is>
          <t>Bekele</t>
        </is>
      </c>
      <c r="F53" s="5" t="inlineStr">
        <is>
          <t>Marié</t>
        </is>
      </c>
      <c r="G53" s="5" t="inlineStr">
        <is>
          <t>Secondaire premier cycle</t>
        </is>
      </c>
      <c r="H53" s="5" t="inlineStr">
        <is>
          <t>≥ 15</t>
        </is>
      </c>
      <c r="I53" s="5" t="inlineStr">
        <is>
          <t>Moins de 5 ans</t>
        </is>
      </c>
      <c r="J53" s="5" t="inlineStr">
        <is>
          <t>Femmes Dynamiques</t>
        </is>
      </c>
      <c r="K53" s="5" t="n">
        <v>4</v>
      </c>
      <c r="L53" s="5" t="n">
        <v>172000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3" t="inlineStr">
        <is>
          <t>Sexe</t>
        </is>
      </c>
    </row>
    <row r="2">
      <c r="A2" s="4" t="inlineStr">
        <is>
          <t>Modalité</t>
        </is>
      </c>
      <c r="B2" s="4" t="inlineStr">
        <is>
          <t>Effectif</t>
        </is>
      </c>
      <c r="C2" s="4" t="inlineStr">
        <is>
          <t>%</t>
        </is>
      </c>
    </row>
    <row r="3">
      <c r="A3" s="5" t="inlineStr">
        <is>
          <t>F</t>
        </is>
      </c>
      <c r="B3" s="7" t="n">
        <v>36</v>
      </c>
      <c r="C3" s="7" t="n">
        <v>72</v>
      </c>
    </row>
    <row r="4">
      <c r="A4" s="6" t="inlineStr">
        <is>
          <t>M</t>
        </is>
      </c>
      <c r="B4" s="8" t="n">
        <v>14</v>
      </c>
      <c r="C4" s="8" t="n">
        <v>28</v>
      </c>
    </row>
    <row r="7">
      <c r="A7" s="3" t="inlineStr">
        <is>
          <t>Tranche d'âge</t>
        </is>
      </c>
    </row>
    <row r="8">
      <c r="A8" s="4" t="inlineStr">
        <is>
          <t>Modalité</t>
        </is>
      </c>
      <c r="B8" s="4" t="inlineStr">
        <is>
          <t>Effectif</t>
        </is>
      </c>
      <c r="C8" s="4" t="inlineStr">
        <is>
          <t>%</t>
        </is>
      </c>
    </row>
    <row r="9">
      <c r="A9" s="5" t="inlineStr">
        <is>
          <t>[50;65[</t>
        </is>
      </c>
      <c r="B9" s="7" t="n">
        <v>21</v>
      </c>
      <c r="C9" s="7" t="n">
        <v>42</v>
      </c>
    </row>
    <row r="10">
      <c r="A10" s="6" t="inlineStr">
        <is>
          <t>[35;50[</t>
        </is>
      </c>
      <c r="B10" s="8" t="n">
        <v>18</v>
      </c>
      <c r="C10" s="8" t="n">
        <v>36</v>
      </c>
    </row>
    <row r="11">
      <c r="A11" s="5" t="inlineStr">
        <is>
          <t>[18;35[</t>
        </is>
      </c>
      <c r="B11" s="7" t="n">
        <v>6</v>
      </c>
      <c r="C11" s="7" t="n">
        <v>12</v>
      </c>
    </row>
    <row r="12">
      <c r="A12" s="6" t="inlineStr">
        <is>
          <t>[65;80[</t>
        </is>
      </c>
      <c r="B12" s="8" t="n">
        <v>5</v>
      </c>
      <c r="C12" s="8" t="n">
        <v>10</v>
      </c>
    </row>
    <row r="15">
      <c r="A15" s="3" t="inlineStr">
        <is>
          <t>Groupe ethnique</t>
        </is>
      </c>
    </row>
    <row r="16">
      <c r="A16" s="4" t="inlineStr">
        <is>
          <t>Modalité</t>
        </is>
      </c>
      <c r="B16" s="4" t="inlineStr">
        <is>
          <t>Effectif</t>
        </is>
      </c>
      <c r="C16" s="4" t="inlineStr">
        <is>
          <t>%</t>
        </is>
      </c>
    </row>
    <row r="17">
      <c r="A17" s="5" t="inlineStr">
        <is>
          <t>Zimé</t>
        </is>
      </c>
      <c r="B17" s="7" t="n">
        <v>38</v>
      </c>
      <c r="C17" s="7" t="n">
        <v>76</v>
      </c>
    </row>
    <row r="18">
      <c r="A18" s="6" t="inlineStr">
        <is>
          <t>Baka</t>
        </is>
      </c>
      <c r="B18" s="8" t="n">
        <v>5</v>
      </c>
      <c r="C18" s="8" t="n">
        <v>10</v>
      </c>
    </row>
    <row r="19">
      <c r="A19" s="5" t="inlineStr">
        <is>
          <t>Kako</t>
        </is>
      </c>
      <c r="B19" s="7" t="n">
        <v>2</v>
      </c>
      <c r="C19" s="7" t="n">
        <v>4</v>
      </c>
    </row>
    <row r="20">
      <c r="A20" s="6" t="inlineStr">
        <is>
          <t>Badjoué</t>
        </is>
      </c>
      <c r="B20" s="8" t="n">
        <v>1</v>
      </c>
      <c r="C20" s="8" t="n">
        <v>2</v>
      </c>
    </row>
    <row r="21">
      <c r="A21" s="5" t="inlineStr">
        <is>
          <t>Maka</t>
        </is>
      </c>
      <c r="B21" s="7" t="n">
        <v>1</v>
      </c>
      <c r="C21" s="7" t="n">
        <v>2</v>
      </c>
    </row>
    <row r="22">
      <c r="A22" s="6" t="inlineStr">
        <is>
          <t>Mezimé</t>
        </is>
      </c>
      <c r="B22" s="8" t="n">
        <v>1</v>
      </c>
      <c r="C22" s="8" t="n">
        <v>2</v>
      </c>
    </row>
    <row r="23">
      <c r="A23" s="5" t="inlineStr">
        <is>
          <t>Mambila</t>
        </is>
      </c>
      <c r="B23" s="7" t="n">
        <v>1</v>
      </c>
      <c r="C23" s="7" t="n">
        <v>2</v>
      </c>
    </row>
    <row r="24">
      <c r="A24" s="6" t="inlineStr">
        <is>
          <t>Bekele</t>
        </is>
      </c>
      <c r="B24" s="8" t="n">
        <v>1</v>
      </c>
      <c r="C24" s="8" t="n">
        <v>2</v>
      </c>
    </row>
    <row r="27">
      <c r="A27" s="3" t="inlineStr">
        <is>
          <t>Statut matrimonial</t>
        </is>
      </c>
    </row>
    <row r="28">
      <c r="A28" s="4" t="inlineStr">
        <is>
          <t>Modalité</t>
        </is>
      </c>
      <c r="B28" s="4" t="inlineStr">
        <is>
          <t>Effectif</t>
        </is>
      </c>
      <c r="C28" s="4" t="inlineStr">
        <is>
          <t>%</t>
        </is>
      </c>
    </row>
    <row r="29">
      <c r="A29" s="5" t="inlineStr">
        <is>
          <t>Marié</t>
        </is>
      </c>
      <c r="B29" s="7" t="n">
        <v>29</v>
      </c>
      <c r="C29" s="7" t="n">
        <v>58</v>
      </c>
    </row>
    <row r="30">
      <c r="A30" s="6" t="inlineStr">
        <is>
          <t>Veuve</t>
        </is>
      </c>
      <c r="B30" s="8" t="n">
        <v>9</v>
      </c>
      <c r="C30" s="8" t="n">
        <v>18</v>
      </c>
    </row>
    <row r="31">
      <c r="A31" s="5" t="inlineStr">
        <is>
          <t>Célibataire</t>
        </is>
      </c>
      <c r="B31" s="7" t="n">
        <v>8</v>
      </c>
      <c r="C31" s="7" t="n">
        <v>16</v>
      </c>
    </row>
    <row r="32">
      <c r="A32" s="6" t="inlineStr">
        <is>
          <t>Divorcé</t>
        </is>
      </c>
      <c r="B32" s="8" t="n">
        <v>4</v>
      </c>
      <c r="C32" s="8" t="n">
        <v>8</v>
      </c>
    </row>
    <row r="35">
      <c r="A35" s="3" t="inlineStr">
        <is>
          <t>Niveau d'instruction</t>
        </is>
      </c>
    </row>
    <row r="36">
      <c r="A36" s="4" t="inlineStr">
        <is>
          <t>Modalité</t>
        </is>
      </c>
      <c r="B36" s="4" t="inlineStr">
        <is>
          <t>Effectif</t>
        </is>
      </c>
      <c r="C36" s="4" t="inlineStr">
        <is>
          <t>%</t>
        </is>
      </c>
    </row>
    <row r="37">
      <c r="A37" s="5" t="inlineStr">
        <is>
          <t>Secondaire premier cycle</t>
        </is>
      </c>
      <c r="B37" s="7" t="n">
        <v>23</v>
      </c>
      <c r="C37" s="7" t="n">
        <v>46</v>
      </c>
    </row>
    <row r="38">
      <c r="A38" s="6" t="inlineStr">
        <is>
          <t>Primaire</t>
        </is>
      </c>
      <c r="B38" s="8" t="n">
        <v>20</v>
      </c>
      <c r="C38" s="8" t="n">
        <v>40</v>
      </c>
    </row>
    <row r="39">
      <c r="A39" s="5" t="inlineStr">
        <is>
          <t>Aucun</t>
        </is>
      </c>
      <c r="B39" s="7" t="n">
        <v>4</v>
      </c>
      <c r="C39" s="7" t="n">
        <v>8</v>
      </c>
    </row>
    <row r="40">
      <c r="A40" s="6" t="inlineStr">
        <is>
          <t>Secondaire second cycle</t>
        </is>
      </c>
      <c r="B40" s="8" t="n">
        <v>3</v>
      </c>
      <c r="C40" s="8" t="n">
        <v>6</v>
      </c>
    </row>
    <row r="43">
      <c r="A43" s="3" t="inlineStr">
        <is>
          <t>Taille du ménage</t>
        </is>
      </c>
    </row>
    <row r="44">
      <c r="A44" s="4" t="inlineStr">
        <is>
          <t>Modalité</t>
        </is>
      </c>
      <c r="B44" s="4" t="inlineStr">
        <is>
          <t>Effectif</t>
        </is>
      </c>
      <c r="C44" s="4" t="inlineStr">
        <is>
          <t>%</t>
        </is>
      </c>
    </row>
    <row r="45">
      <c r="A45" s="5" t="inlineStr">
        <is>
          <t>[5 ; 10[</t>
        </is>
      </c>
      <c r="B45" s="7" t="n">
        <v>31</v>
      </c>
      <c r="C45" s="7" t="n">
        <v>62</v>
      </c>
    </row>
    <row r="46">
      <c r="A46" s="6" t="inlineStr">
        <is>
          <t>[10 ; 15[</t>
        </is>
      </c>
      <c r="B46" s="8" t="n">
        <v>10</v>
      </c>
      <c r="C46" s="8" t="n">
        <v>20</v>
      </c>
    </row>
    <row r="47">
      <c r="A47" s="5" t="inlineStr">
        <is>
          <t>≥ 15</t>
        </is>
      </c>
      <c r="B47" s="7" t="n">
        <v>5</v>
      </c>
      <c r="C47" s="7" t="n">
        <v>10</v>
      </c>
    </row>
    <row r="48">
      <c r="A48" s="6" t="inlineStr">
        <is>
          <t>˂ 5</t>
        </is>
      </c>
      <c r="B48" s="8" t="n">
        <v>4</v>
      </c>
      <c r="C48" s="8" t="n">
        <v>8</v>
      </c>
    </row>
    <row r="51">
      <c r="A51" s="3" t="inlineStr">
        <is>
          <t>Ancienneté collecte</t>
        </is>
      </c>
    </row>
    <row r="52">
      <c r="A52" s="4" t="inlineStr">
        <is>
          <t>Modalité</t>
        </is>
      </c>
      <c r="B52" s="4" t="inlineStr">
        <is>
          <t>Effectif</t>
        </is>
      </c>
      <c r="C52" s="4" t="inlineStr">
        <is>
          <t>%</t>
        </is>
      </c>
    </row>
    <row r="53">
      <c r="A53" s="5" t="inlineStr">
        <is>
          <t>Moins de 5 ans</t>
        </is>
      </c>
      <c r="B53" s="7" t="n">
        <v>15</v>
      </c>
      <c r="C53" s="7" t="n">
        <v>30</v>
      </c>
    </row>
    <row r="54">
      <c r="A54" s="6" t="inlineStr">
        <is>
          <t>Entre 10 et 15 ans</t>
        </is>
      </c>
      <c r="B54" s="8" t="n">
        <v>13</v>
      </c>
      <c r="C54" s="8" t="n">
        <v>26</v>
      </c>
    </row>
    <row r="55">
      <c r="A55" s="5" t="inlineStr">
        <is>
          <t>Entre 15 et 20 ans</t>
        </is>
      </c>
      <c r="B55" s="7" t="n">
        <v>9</v>
      </c>
      <c r="C55" s="7" t="n">
        <v>18</v>
      </c>
    </row>
    <row r="56">
      <c r="A56" s="6" t="inlineStr">
        <is>
          <t>Entre 5 et 10 ans</t>
        </is>
      </c>
      <c r="B56" s="8" t="n">
        <v>7</v>
      </c>
      <c r="C56" s="8" t="n">
        <v>14</v>
      </c>
    </row>
    <row r="57">
      <c r="A57" s="5" t="inlineStr">
        <is>
          <t>Plus de 20 ans</t>
        </is>
      </c>
      <c r="B57" s="7" t="n">
        <v>6</v>
      </c>
      <c r="C57" s="7" t="n">
        <v>12</v>
      </c>
    </row>
    <row r="60">
      <c r="A60" s="3" t="inlineStr">
        <is>
          <t>Localité</t>
        </is>
      </c>
    </row>
    <row r="61">
      <c r="A61" s="4" t="inlineStr">
        <is>
          <t>Modalité</t>
        </is>
      </c>
      <c r="B61" s="4" t="inlineStr">
        <is>
          <t>Effectif</t>
        </is>
      </c>
      <c r="C61" s="4" t="inlineStr">
        <is>
          <t>%</t>
        </is>
      </c>
    </row>
    <row r="62">
      <c r="A62" s="6" t="inlineStr">
        <is>
          <t>Kongo</t>
        </is>
      </c>
      <c r="B62" s="8" t="n">
        <v>26</v>
      </c>
      <c r="C62" s="8" t="n">
        <v>52</v>
      </c>
    </row>
    <row r="63">
      <c r="A63" s="5" t="inlineStr">
        <is>
          <t>Zoulabot I</t>
        </is>
      </c>
      <c r="B63" s="7" t="n">
        <v>17</v>
      </c>
      <c r="C63" s="7" t="n">
        <v>34</v>
      </c>
    </row>
    <row r="64">
      <c r="A64" s="6" t="inlineStr">
        <is>
          <t>Eschambior</t>
        </is>
      </c>
      <c r="B64" s="8" t="n">
        <v>6</v>
      </c>
      <c r="C64" s="8" t="n">
        <v>12</v>
      </c>
    </row>
    <row r="65">
      <c r="A65" s="5" t="inlineStr">
        <is>
          <t>Malen</t>
        </is>
      </c>
      <c r="B65" s="7" t="n">
        <v>1</v>
      </c>
      <c r="C65" s="7" t="n">
        <v>2</v>
      </c>
    </row>
    <row r="68">
      <c r="A68" s="3" t="inlineStr">
        <is>
          <t>Sources de revenus</t>
        </is>
      </c>
    </row>
    <row r="69">
      <c r="A69" s="4" t="inlineStr">
        <is>
          <t>Modalité</t>
        </is>
      </c>
      <c r="B69" s="4" t="inlineStr">
        <is>
          <t>Effectif</t>
        </is>
      </c>
      <c r="C69" s="4" t="inlineStr">
        <is>
          <t>%</t>
        </is>
      </c>
    </row>
    <row r="70">
      <c r="A70" s="6" t="inlineStr">
        <is>
          <t>Agriculture</t>
        </is>
      </c>
      <c r="B70" s="8" t="n">
        <v>49</v>
      </c>
      <c r="C70" s="8" t="n">
        <v>98</v>
      </c>
    </row>
    <row r="71">
      <c r="A71" s="5" t="inlineStr">
        <is>
          <t>Petit commerce</t>
        </is>
      </c>
      <c r="B71" s="7" t="n">
        <v>22</v>
      </c>
      <c r="C71" s="7" t="n">
        <v>44</v>
      </c>
    </row>
    <row r="72">
      <c r="A72" s="6" t="inlineStr">
        <is>
          <t>Chasse</t>
        </is>
      </c>
      <c r="B72" s="8" t="n">
        <v>7</v>
      </c>
      <c r="C72" s="8" t="n">
        <v>14</v>
      </c>
    </row>
    <row r="73">
      <c r="A73" s="5" t="inlineStr">
        <is>
          <t>Commerce</t>
        </is>
      </c>
      <c r="B73" s="7" t="n">
        <v>5</v>
      </c>
      <c r="C73" s="7" t="n">
        <v>10</v>
      </c>
    </row>
    <row r="74">
      <c r="A74" s="6" t="inlineStr">
        <is>
          <t>Elevage</t>
        </is>
      </c>
      <c r="B74" s="8" t="n">
        <v>4</v>
      </c>
      <c r="C74" s="8" t="n">
        <v>8</v>
      </c>
    </row>
    <row r="75">
      <c r="A75" s="5" t="inlineStr">
        <is>
          <t>Peche</t>
        </is>
      </c>
      <c r="B75" s="7" t="n">
        <v>3</v>
      </c>
      <c r="C75" s="7" t="n">
        <v>6</v>
      </c>
    </row>
    <row r="78">
      <c r="A78" s="3" t="inlineStr">
        <is>
          <t>Répartition par GIC (corrigée)</t>
        </is>
      </c>
    </row>
    <row r="79">
      <c r="A79" s="4" t="inlineStr">
        <is>
          <t>GIC</t>
        </is>
      </c>
      <c r="B79" s="4" t="inlineStr">
        <is>
          <t>Effectif</t>
        </is>
      </c>
      <c r="C79" s="4" t="inlineStr">
        <is>
          <t>%</t>
        </is>
      </c>
    </row>
    <row r="80">
      <c r="A80" s="6" t="inlineStr">
        <is>
          <t>Lumière plus</t>
        </is>
      </c>
      <c r="B80" s="8" t="n">
        <v>20</v>
      </c>
      <c r="C80" s="8" t="n">
        <v>40</v>
      </c>
    </row>
    <row r="81">
      <c r="A81" s="5" t="inlineStr">
        <is>
          <t>Mpoulah Mepeh</t>
        </is>
      </c>
      <c r="B81" s="7" t="n">
        <v>17</v>
      </c>
      <c r="C81" s="7" t="n">
        <v>34</v>
      </c>
    </row>
    <row r="82">
      <c r="A82" s="6" t="inlineStr">
        <is>
          <t>PLACKO</t>
        </is>
      </c>
      <c r="B82" s="8" t="n">
        <v>7</v>
      </c>
      <c r="C82" s="8" t="n">
        <v>14</v>
      </c>
    </row>
    <row r="83">
      <c r="A83" s="5" t="inlineStr">
        <is>
          <t>Femmes Dynamiques</t>
        </is>
      </c>
      <c r="B83" s="7" t="n">
        <v>6</v>
      </c>
      <c r="C83" s="7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0" customWidth="1" min="4" max="4"/>
    <col width="10" customWidth="1" min="5" max="5"/>
  </cols>
  <sheetData>
    <row r="1">
      <c r="A1" s="3" t="inlineStr">
        <is>
          <t>Fréquence de citation des PFNL (N=50)</t>
        </is>
      </c>
    </row>
    <row r="2">
      <c r="A2" s="4" t="inlineStr">
        <is>
          <t>Rang</t>
        </is>
      </c>
      <c r="B2" s="4" t="inlineStr">
        <is>
          <t>PFNL</t>
        </is>
      </c>
      <c r="C2" s="4" t="inlineStr">
        <is>
          <t>Nom scientifique</t>
        </is>
      </c>
      <c r="D2" s="4" t="inlineStr">
        <is>
          <t>n</t>
        </is>
      </c>
      <c r="E2" s="4" t="inlineStr">
        <is>
          <t>fc (%)</t>
        </is>
      </c>
    </row>
    <row r="3">
      <c r="A3" s="5" t="n">
        <v>1</v>
      </c>
      <c r="B3" s="5" t="inlineStr">
        <is>
          <t>Mango</t>
        </is>
      </c>
      <c r="C3" s="5" t="inlineStr">
        <is>
          <t>Irvingia gabonensis</t>
        </is>
      </c>
      <c r="D3" s="7" t="n">
        <v>48</v>
      </c>
      <c r="E3" s="7" t="n">
        <v>96</v>
      </c>
    </row>
    <row r="4">
      <c r="A4" s="6" t="n">
        <v>2</v>
      </c>
      <c r="B4" s="6" t="inlineStr">
        <is>
          <t>Rondelle</t>
        </is>
      </c>
      <c r="C4" s="6" t="inlineStr">
        <is>
          <t>Afrostyrax lepidophyllus</t>
        </is>
      </c>
      <c r="D4" s="8" t="n">
        <v>31</v>
      </c>
      <c r="E4" s="8" t="n">
        <v>62</v>
      </c>
    </row>
    <row r="5">
      <c r="A5" s="5" t="n">
        <v>3</v>
      </c>
      <c r="B5" s="5" t="inlineStr">
        <is>
          <t>Mbalaka</t>
        </is>
      </c>
      <c r="C5" s="5" t="inlineStr">
        <is>
          <t>Pentaclethra macrophylla</t>
        </is>
      </c>
      <c r="D5" s="7" t="n">
        <v>30</v>
      </c>
      <c r="E5" s="7" t="n">
        <v>60</v>
      </c>
    </row>
    <row r="6">
      <c r="A6" s="6" t="n">
        <v>4</v>
      </c>
      <c r="B6" s="6" t="inlineStr">
        <is>
          <t>Djansang</t>
        </is>
      </c>
      <c r="C6" s="6" t="inlineStr">
        <is>
          <t>Ricinodendron heudelotii</t>
        </is>
      </c>
      <c r="D6" s="8" t="n">
        <v>20</v>
      </c>
      <c r="E6" s="8" t="n">
        <v>40</v>
      </c>
    </row>
    <row r="7">
      <c r="A7" s="5" t="n">
        <v>5</v>
      </c>
      <c r="B7" s="5" t="inlineStr">
        <is>
          <t>Moabi</t>
        </is>
      </c>
      <c r="C7" s="5" t="inlineStr">
        <is>
          <t>Baillonella toxisperma</t>
        </is>
      </c>
      <c r="D7" s="7" t="n">
        <v>17</v>
      </c>
      <c r="E7" s="7" t="n">
        <v>34</v>
      </c>
    </row>
    <row r="8">
      <c r="A8" s="6" t="n">
        <v>6</v>
      </c>
      <c r="B8" s="6" t="inlineStr">
        <is>
          <t>Tondo</t>
        </is>
      </c>
      <c r="C8" s="6" t="inlineStr">
        <is>
          <t>Aframomum sp.</t>
        </is>
      </c>
      <c r="D8" s="8" t="n">
        <v>11</v>
      </c>
      <c r="E8" s="8" t="n">
        <v>22</v>
      </c>
    </row>
    <row r="9">
      <c r="A9" s="5" t="n">
        <v>7</v>
      </c>
      <c r="B9" s="5" t="inlineStr">
        <is>
          <t>4 Côtés</t>
        </is>
      </c>
      <c r="C9" s="5" t="inlineStr">
        <is>
          <t>Tetrapleura tetraptera</t>
        </is>
      </c>
      <c r="D9" s="7" t="n">
        <v>9</v>
      </c>
      <c r="E9" s="7" t="n">
        <v>18</v>
      </c>
    </row>
    <row r="10">
      <c r="A10" s="6" t="n">
        <v>8</v>
      </c>
      <c r="B10" s="6" t="inlineStr">
        <is>
          <t>Pèpè</t>
        </is>
      </c>
      <c r="C10" s="6" t="inlineStr">
        <is>
          <t>Monodora myristica</t>
        </is>
      </c>
      <c r="D10" s="8" t="n">
        <v>2</v>
      </c>
      <c r="E10" s="8" t="n">
        <v>4</v>
      </c>
    </row>
    <row r="11">
      <c r="A11" s="5" t="n">
        <v>9</v>
      </c>
      <c r="B11" s="5" t="inlineStr">
        <is>
          <t>Koutou</t>
        </is>
      </c>
      <c r="C11" s="5" t="inlineStr">
        <is>
          <t>Armillaria camerunensis</t>
        </is>
      </c>
      <c r="D11" s="7" t="n">
        <v>2</v>
      </c>
      <c r="E11" s="7" t="n">
        <v>4</v>
      </c>
    </row>
    <row r="12">
      <c r="A12" s="6" t="n">
        <v>10</v>
      </c>
      <c r="B12" s="6" t="inlineStr">
        <is>
          <t>Bitter cola</t>
        </is>
      </c>
      <c r="C12" s="6" t="inlineStr">
        <is>
          <t>Garcinia kola</t>
        </is>
      </c>
      <c r="D12" s="8" t="n">
        <v>1</v>
      </c>
      <c r="E12" s="8" t="n">
        <v>2</v>
      </c>
    </row>
    <row r="13">
      <c r="A13" s="5" t="n">
        <v>11</v>
      </c>
      <c r="B13" s="5" t="inlineStr">
        <is>
          <t>Piment des oiseaux</t>
        </is>
      </c>
      <c r="C13" s="5" t="inlineStr">
        <is>
          <t>Capsicum frutescens</t>
        </is>
      </c>
      <c r="D13" s="7" t="n">
        <v>1</v>
      </c>
      <c r="E13" s="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9" t="inlineStr">
        <is>
          <t>Nombre moyen de PFNL collectés par ménage</t>
        </is>
      </c>
    </row>
    <row r="2">
      <c r="A2" t="inlineStr">
        <is>
          <t>Ensemble : 3.44 ± 1.69  (médiane 3 ; min 1 ; max 9)</t>
        </is>
      </c>
    </row>
    <row r="4">
      <c r="A4" s="16" t="inlineStr">
        <is>
          <t>GIC</t>
        </is>
      </c>
      <c r="B4" s="16" t="inlineStr">
        <is>
          <t>n ménages</t>
        </is>
      </c>
      <c r="C4" s="16" t="inlineStr">
        <is>
          <t>Nb moyen PFNL</t>
        </is>
      </c>
      <c r="D4" s="16" t="inlineStr">
        <is>
          <t>Écart-type</t>
        </is>
      </c>
    </row>
    <row r="5">
      <c r="A5" s="5" t="inlineStr">
        <is>
          <t>Lumière plus</t>
        </is>
      </c>
      <c r="B5" s="5" t="n">
        <v>20</v>
      </c>
      <c r="C5" s="5" t="n">
        <v>4.25</v>
      </c>
      <c r="D5" s="5" t="n">
        <v>1.8</v>
      </c>
    </row>
    <row r="6">
      <c r="A6" s="5" t="inlineStr">
        <is>
          <t>PLACKO</t>
        </is>
      </c>
      <c r="B6" s="5" t="n">
        <v>7</v>
      </c>
      <c r="C6" s="5" t="n">
        <v>4</v>
      </c>
      <c r="D6" s="5" t="n">
        <v>1.41</v>
      </c>
    </row>
    <row r="7">
      <c r="A7" s="5" t="inlineStr">
        <is>
          <t>Femmes Dynamiques</t>
        </is>
      </c>
      <c r="B7" s="5" t="n">
        <v>6</v>
      </c>
      <c r="C7" s="5" t="n">
        <v>3.17</v>
      </c>
      <c r="D7" s="5" t="n">
        <v>0.75</v>
      </c>
    </row>
    <row r="8">
      <c r="A8" s="5" t="inlineStr">
        <is>
          <t>Mpoulah Mepeh</t>
        </is>
      </c>
      <c r="B8" s="5" t="n">
        <v>17</v>
      </c>
      <c r="C8" s="5" t="n">
        <v>2.35</v>
      </c>
      <c r="D8" s="5" t="n">
        <v>1.32</v>
      </c>
    </row>
    <row r="9">
      <c r="A9" s="5" t="inlineStr">
        <is>
          <t>Ensemble</t>
        </is>
      </c>
      <c r="B9" s="5" t="n">
        <v>50</v>
      </c>
      <c r="C9" s="5" t="n">
        <v>3.44</v>
      </c>
      <c r="D9" s="5" t="n">
        <v>1.69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Mango (unité : Combo)</t>
        </is>
      </c>
      <c r="L1" t="inlineStr">
        <is>
          <t>PFNL</t>
        </is>
      </c>
      <c r="M1" t="inlineStr">
        <is>
          <t>Part</t>
        </is>
      </c>
    </row>
    <row r="2">
      <c r="A2" s="4" t="inlineStr">
        <is>
          <t>Variable</t>
        </is>
      </c>
      <c r="B2" s="4" t="inlineStr">
        <is>
          <t>n</t>
        </is>
      </c>
      <c r="C2" s="4" t="inlineStr">
        <is>
          <t>Moyenne</t>
        </is>
      </c>
      <c r="D2" s="4" t="inlineStr">
        <is>
          <t>Médiane</t>
        </is>
      </c>
      <c r="E2" s="4" t="inlineStr">
        <is>
          <t>Écart-type</t>
        </is>
      </c>
      <c r="F2" s="4" t="inlineStr">
        <is>
          <t>Min</t>
        </is>
      </c>
      <c r="G2" s="4" t="inlineStr">
        <is>
          <t>Max</t>
        </is>
      </c>
      <c r="H2" s="4" t="inlineStr">
        <is>
          <t>CV %</t>
        </is>
      </c>
      <c r="L2" t="inlineStr">
        <is>
          <t>Mango</t>
        </is>
      </c>
      <c r="M2" t="n">
        <v>39.1</v>
      </c>
    </row>
    <row r="3">
      <c r="A3" s="5" t="inlineStr">
        <is>
          <t>Qté collectée</t>
        </is>
      </c>
      <c r="B3" s="7" t="n">
        <v>47</v>
      </c>
      <c r="C3" s="7" t="n">
        <v>99.2</v>
      </c>
      <c r="D3" s="7" t="n">
        <v>90</v>
      </c>
      <c r="E3" s="7" t="n">
        <v>60.7</v>
      </c>
      <c r="F3" s="7" t="n">
        <v>18</v>
      </c>
      <c r="G3" s="7" t="n">
        <v>300</v>
      </c>
      <c r="H3" s="7" t="n">
        <v>61.2</v>
      </c>
      <c r="L3" t="inlineStr">
        <is>
          <t>Rondelle</t>
        </is>
      </c>
      <c r="M3" t="n">
        <v>36.4</v>
      </c>
    </row>
    <row r="4">
      <c r="A4" s="6" t="inlineStr">
        <is>
          <t>Qté autoconsommée</t>
        </is>
      </c>
      <c r="B4" s="8" t="n">
        <v>47</v>
      </c>
      <c r="C4" s="8" t="n">
        <v>14.9</v>
      </c>
      <c r="D4" s="8" t="n">
        <v>10</v>
      </c>
      <c r="E4" s="8" t="n">
        <v>14</v>
      </c>
      <c r="F4" s="8" t="n">
        <v>0</v>
      </c>
      <c r="G4" s="8" t="n">
        <v>60</v>
      </c>
      <c r="H4" s="8" t="n">
        <v>94.3</v>
      </c>
      <c r="L4" t="inlineStr">
        <is>
          <t>Mbalaka</t>
        </is>
      </c>
      <c r="M4" t="n">
        <v>17.3</v>
      </c>
    </row>
    <row r="5">
      <c r="A5" s="5" t="inlineStr">
        <is>
          <t>Qté vendue</t>
        </is>
      </c>
      <c r="B5" s="7" t="n">
        <v>47</v>
      </c>
      <c r="C5" s="7" t="n">
        <v>84.40000000000001</v>
      </c>
      <c r="D5" s="7" t="n">
        <v>87</v>
      </c>
      <c r="E5" s="7" t="n">
        <v>55.5</v>
      </c>
      <c r="F5" s="7" t="n">
        <v>15</v>
      </c>
      <c r="G5" s="7" t="n">
        <v>285</v>
      </c>
      <c r="H5" s="7" t="n">
        <v>65.8</v>
      </c>
      <c r="L5" t="inlineStr">
        <is>
          <t>Djansang</t>
        </is>
      </c>
      <c r="M5" t="n">
        <v>3.8</v>
      </c>
    </row>
    <row r="6">
      <c r="A6" s="6" t="inlineStr">
        <is>
          <t>Prix unitaire (FCFA)</t>
        </is>
      </c>
      <c r="B6" s="8" t="n">
        <v>47</v>
      </c>
      <c r="C6" s="8" t="n">
        <v>2744.7</v>
      </c>
      <c r="D6" s="8" t="n">
        <v>2500</v>
      </c>
      <c r="E6" s="8" t="n">
        <v>292.5</v>
      </c>
      <c r="F6" s="8" t="n">
        <v>2000</v>
      </c>
      <c r="G6" s="8" t="n">
        <v>3500</v>
      </c>
      <c r="H6" s="8" t="n">
        <v>10.7</v>
      </c>
      <c r="L6" t="inlineStr">
        <is>
          <t>Moabi</t>
        </is>
      </c>
      <c r="M6" t="n">
        <v>3.5</v>
      </c>
    </row>
    <row r="7">
      <c r="A7" s="5" t="inlineStr">
        <is>
          <t>Revenu (FCFA)</t>
        </is>
      </c>
      <c r="B7" s="7" t="n">
        <v>47</v>
      </c>
      <c r="C7" s="7" t="n">
        <v>230755.3</v>
      </c>
      <c r="D7" s="7" t="n">
        <v>217500</v>
      </c>
      <c r="E7" s="7" t="n">
        <v>159519.2</v>
      </c>
      <c r="F7" s="7" t="n">
        <v>45000</v>
      </c>
      <c r="G7" s="7" t="n">
        <v>855000</v>
      </c>
      <c r="H7" s="7" t="n">
        <v>69.09999999999999</v>
      </c>
    </row>
    <row r="10">
      <c r="A10" s="3" t="inlineStr">
        <is>
          <t>Rondelle (unité : Combo)</t>
        </is>
      </c>
    </row>
    <row r="11">
      <c r="A11" s="4" t="inlineStr">
        <is>
          <t>Variable</t>
        </is>
      </c>
      <c r="B11" s="4" t="inlineStr">
        <is>
          <t>n</t>
        </is>
      </c>
      <c r="C11" s="4" t="inlineStr">
        <is>
          <t>Moyenne</t>
        </is>
      </c>
      <c r="D11" s="4" t="inlineStr">
        <is>
          <t>Médiane</t>
        </is>
      </c>
      <c r="E11" s="4" t="inlineStr">
        <is>
          <t>Écart-type</t>
        </is>
      </c>
      <c r="F11" s="4" t="inlineStr">
        <is>
          <t>Min</t>
        </is>
      </c>
      <c r="G11" s="4" t="inlineStr">
        <is>
          <t>Max</t>
        </is>
      </c>
      <c r="H11" s="4" t="inlineStr">
        <is>
          <t>CV %</t>
        </is>
      </c>
    </row>
    <row r="12">
      <c r="A12" s="6" t="inlineStr">
        <is>
          <t>Qté collectée</t>
        </is>
      </c>
      <c r="B12" s="8" t="n">
        <v>30</v>
      </c>
      <c r="C12" s="8" t="n">
        <v>153.8</v>
      </c>
      <c r="D12" s="8" t="n">
        <v>150</v>
      </c>
      <c r="E12" s="8" t="n">
        <v>95.59999999999999</v>
      </c>
      <c r="F12" s="8" t="n">
        <v>10</v>
      </c>
      <c r="G12" s="8" t="n">
        <v>360</v>
      </c>
      <c r="H12" s="8" t="n">
        <v>62.2</v>
      </c>
    </row>
    <row r="13">
      <c r="A13" s="5" t="inlineStr">
        <is>
          <t>Qté autoconsommée</t>
        </is>
      </c>
      <c r="B13" s="7" t="n">
        <v>30</v>
      </c>
      <c r="C13" s="7" t="n">
        <v>2.7</v>
      </c>
      <c r="D13" s="7" t="n">
        <v>0.8</v>
      </c>
      <c r="E13" s="7" t="n">
        <v>6.2</v>
      </c>
      <c r="F13" s="7" t="n">
        <v>0</v>
      </c>
      <c r="G13" s="7" t="n">
        <v>30</v>
      </c>
      <c r="H13" s="7" t="n">
        <v>227.8</v>
      </c>
    </row>
    <row r="14">
      <c r="A14" s="6" t="inlineStr">
        <is>
          <t>Qté vendue</t>
        </is>
      </c>
      <c r="B14" s="8" t="n">
        <v>30</v>
      </c>
      <c r="C14" s="8" t="n">
        <v>151.1</v>
      </c>
      <c r="D14" s="8" t="n">
        <v>148.2</v>
      </c>
      <c r="E14" s="8" t="n">
        <v>94.2</v>
      </c>
      <c r="F14" s="8" t="n">
        <v>9.5</v>
      </c>
      <c r="G14" s="8" t="n">
        <v>350</v>
      </c>
      <c r="H14" s="8" t="n">
        <v>62.3</v>
      </c>
    </row>
    <row r="15">
      <c r="A15" s="5" t="inlineStr">
        <is>
          <t>Prix unitaire (FCFA)</t>
        </is>
      </c>
      <c r="B15" s="7" t="n">
        <v>30</v>
      </c>
      <c r="C15" s="7" t="n">
        <v>2533.3</v>
      </c>
      <c r="D15" s="7" t="n">
        <v>2000</v>
      </c>
      <c r="E15" s="7" t="n">
        <v>1519.6</v>
      </c>
      <c r="F15" s="7" t="n">
        <v>2000</v>
      </c>
      <c r="G15" s="7" t="n">
        <v>7000</v>
      </c>
      <c r="H15" s="7" t="n">
        <v>60</v>
      </c>
    </row>
    <row r="16">
      <c r="A16" s="6" t="inlineStr">
        <is>
          <t>Revenu (FCFA)</t>
        </is>
      </c>
      <c r="B16" s="8" t="n">
        <v>30</v>
      </c>
      <c r="C16" s="8" t="n">
        <v>336916.7</v>
      </c>
      <c r="D16" s="8" t="n">
        <v>330000</v>
      </c>
      <c r="E16" s="8" t="n">
        <v>188008.4</v>
      </c>
      <c r="F16" s="8" t="n">
        <v>19000</v>
      </c>
      <c r="G16" s="8" t="n">
        <v>700000</v>
      </c>
      <c r="H16" s="8" t="n">
        <v>55.8</v>
      </c>
    </row>
    <row r="19">
      <c r="A19" s="3" t="inlineStr">
        <is>
          <t>Mbalaka (unité : Combo)</t>
        </is>
      </c>
    </row>
    <row r="20">
      <c r="A20" s="4" t="inlineStr">
        <is>
          <t>Variable</t>
        </is>
      </c>
      <c r="B20" s="4" t="inlineStr">
        <is>
          <t>n</t>
        </is>
      </c>
      <c r="C20" s="4" t="inlineStr">
        <is>
          <t>Moyenne</t>
        </is>
      </c>
      <c r="D20" s="4" t="inlineStr">
        <is>
          <t>Médiane</t>
        </is>
      </c>
      <c r="E20" s="4" t="inlineStr">
        <is>
          <t>Écart-type</t>
        </is>
      </c>
      <c r="F20" s="4" t="inlineStr">
        <is>
          <t>Min</t>
        </is>
      </c>
      <c r="G20" s="4" t="inlineStr">
        <is>
          <t>Max</t>
        </is>
      </c>
      <c r="H20" s="4" t="inlineStr">
        <is>
          <t>CV %</t>
        </is>
      </c>
    </row>
    <row r="21">
      <c r="A21" s="5" t="inlineStr">
        <is>
          <t>Qté collectée</t>
        </is>
      </c>
      <c r="B21" s="7" t="n">
        <v>29</v>
      </c>
      <c r="C21" s="7" t="n">
        <v>178.7</v>
      </c>
      <c r="D21" s="7" t="n">
        <v>120</v>
      </c>
      <c r="E21" s="7" t="n">
        <v>155.6</v>
      </c>
      <c r="F21" s="7" t="n">
        <v>15</v>
      </c>
      <c r="G21" s="7" t="n">
        <v>600</v>
      </c>
      <c r="H21" s="7" t="n">
        <v>87</v>
      </c>
    </row>
    <row r="22">
      <c r="A22" s="6" t="inlineStr">
        <is>
          <t>Qté autoconsommée</t>
        </is>
      </c>
      <c r="B22" s="8" t="n">
        <v>29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6" t="n"/>
    </row>
    <row r="23">
      <c r="A23" s="5" t="inlineStr">
        <is>
          <t>Qté vendue</t>
        </is>
      </c>
      <c r="B23" s="7" t="n">
        <v>29</v>
      </c>
      <c r="C23" s="7" t="n">
        <v>178.7</v>
      </c>
      <c r="D23" s="7" t="n">
        <v>120</v>
      </c>
      <c r="E23" s="7" t="n">
        <v>155.6</v>
      </c>
      <c r="F23" s="7" t="n">
        <v>15</v>
      </c>
      <c r="G23" s="7" t="n">
        <v>600</v>
      </c>
      <c r="H23" s="7" t="n">
        <v>87</v>
      </c>
    </row>
    <row r="24">
      <c r="A24" s="6" t="inlineStr">
        <is>
          <t>Prix unitaire (FCFA)</t>
        </is>
      </c>
      <c r="B24" s="8" t="n">
        <v>29</v>
      </c>
      <c r="C24" s="8" t="n">
        <v>944.8</v>
      </c>
      <c r="D24" s="8" t="n">
        <v>1000</v>
      </c>
      <c r="E24" s="8" t="n">
        <v>111.3</v>
      </c>
      <c r="F24" s="8" t="n">
        <v>700</v>
      </c>
      <c r="G24" s="8" t="n">
        <v>1000</v>
      </c>
      <c r="H24" s="8" t="n">
        <v>11.8</v>
      </c>
    </row>
    <row r="25">
      <c r="A25" s="5" t="inlineStr">
        <is>
          <t>Revenu (FCFA)</t>
        </is>
      </c>
      <c r="B25" s="7" t="n">
        <v>29</v>
      </c>
      <c r="C25" s="7" t="n">
        <v>165362.1</v>
      </c>
      <c r="D25" s="7" t="n">
        <v>120000</v>
      </c>
      <c r="E25" s="7" t="n">
        <v>145966.3</v>
      </c>
      <c r="F25" s="7" t="n">
        <v>15000</v>
      </c>
      <c r="G25" s="7" t="n">
        <v>600000</v>
      </c>
      <c r="H25" s="7" t="n">
        <v>88.3</v>
      </c>
    </row>
    <row r="28">
      <c r="A28" s="3" t="inlineStr">
        <is>
          <t>Djansang (unité : Combo)</t>
        </is>
      </c>
    </row>
    <row r="29">
      <c r="A29" s="4" t="inlineStr">
        <is>
          <t>Variable</t>
        </is>
      </c>
      <c r="B29" s="4" t="inlineStr">
        <is>
          <t>n</t>
        </is>
      </c>
      <c r="C29" s="4" t="inlineStr">
        <is>
          <t>Moyenne</t>
        </is>
      </c>
      <c r="D29" s="4" t="inlineStr">
        <is>
          <t>Médiane</t>
        </is>
      </c>
      <c r="E29" s="4" t="inlineStr">
        <is>
          <t>Écart-type</t>
        </is>
      </c>
      <c r="F29" s="4" t="inlineStr">
        <is>
          <t>Min</t>
        </is>
      </c>
      <c r="G29" s="4" t="inlineStr">
        <is>
          <t>Max</t>
        </is>
      </c>
      <c r="H29" s="4" t="inlineStr">
        <is>
          <t>CV %</t>
        </is>
      </c>
    </row>
    <row r="30">
      <c r="A30" s="6" t="inlineStr">
        <is>
          <t>Qté collectée</t>
        </is>
      </c>
      <c r="B30" s="8" t="n">
        <v>19</v>
      </c>
      <c r="C30" s="8" t="n">
        <v>14.1</v>
      </c>
      <c r="D30" s="8" t="n">
        <v>7.5</v>
      </c>
      <c r="E30" s="8" t="n">
        <v>16</v>
      </c>
      <c r="F30" s="8" t="n">
        <v>1</v>
      </c>
      <c r="G30" s="8" t="n">
        <v>60</v>
      </c>
      <c r="H30" s="8" t="n">
        <v>113.2</v>
      </c>
    </row>
    <row r="31">
      <c r="A31" s="5" t="inlineStr">
        <is>
          <t>Qté autoconsommée</t>
        </is>
      </c>
      <c r="B31" s="7" t="n">
        <v>19</v>
      </c>
      <c r="C31" s="7" t="n">
        <v>3</v>
      </c>
      <c r="D31" s="7" t="n">
        <v>1.5</v>
      </c>
      <c r="E31" s="7" t="n">
        <v>3.5</v>
      </c>
      <c r="F31" s="7" t="n">
        <v>0.5</v>
      </c>
      <c r="G31" s="7" t="n">
        <v>15</v>
      </c>
      <c r="H31" s="7" t="n">
        <v>117.7</v>
      </c>
    </row>
    <row r="32">
      <c r="A32" s="6" t="inlineStr">
        <is>
          <t>Qté vendue</t>
        </is>
      </c>
      <c r="B32" s="8" t="n">
        <v>19</v>
      </c>
      <c r="C32" s="8" t="n">
        <v>14.8</v>
      </c>
      <c r="D32" s="8" t="n">
        <v>6</v>
      </c>
      <c r="E32" s="8" t="n">
        <v>24.2</v>
      </c>
      <c r="F32" s="8" t="n">
        <v>0</v>
      </c>
      <c r="G32" s="8" t="n">
        <v>105</v>
      </c>
      <c r="H32" s="8" t="n">
        <v>164.2</v>
      </c>
    </row>
    <row r="33">
      <c r="A33" s="5" t="inlineStr">
        <is>
          <t>Prix unitaire (FCFA)</t>
        </is>
      </c>
      <c r="B33" s="7" t="n">
        <v>17</v>
      </c>
      <c r="C33" s="7" t="n">
        <v>3852.9</v>
      </c>
      <c r="D33" s="7" t="n">
        <v>5000</v>
      </c>
      <c r="E33" s="7" t="n">
        <v>1296.2</v>
      </c>
      <c r="F33" s="7" t="n">
        <v>2000</v>
      </c>
      <c r="G33" s="7" t="n">
        <v>5000</v>
      </c>
      <c r="H33" s="7" t="n">
        <v>33.6</v>
      </c>
    </row>
    <row r="34">
      <c r="A34" s="6" t="inlineStr">
        <is>
          <t>Revenu (FCFA)</t>
        </is>
      </c>
      <c r="B34" s="8" t="n">
        <v>19</v>
      </c>
      <c r="C34" s="8" t="n">
        <v>54842.1</v>
      </c>
      <c r="D34" s="8" t="n">
        <v>25000</v>
      </c>
      <c r="E34" s="8" t="n">
        <v>80955.60000000001</v>
      </c>
      <c r="F34" s="8" t="n">
        <v>0</v>
      </c>
      <c r="G34" s="8" t="n">
        <v>315000</v>
      </c>
      <c r="H34" s="8" t="n">
        <v>147.6</v>
      </c>
    </row>
    <row r="37">
      <c r="A37" s="3" t="inlineStr">
        <is>
          <t>Moabi (unité : litre (huile))</t>
        </is>
      </c>
    </row>
    <row r="38">
      <c r="A38" s="4" t="inlineStr">
        <is>
          <t>Variable</t>
        </is>
      </c>
      <c r="B38" s="4" t="inlineStr">
        <is>
          <t>n</t>
        </is>
      </c>
      <c r="C38" s="4" t="inlineStr">
        <is>
          <t>Moyenne</t>
        </is>
      </c>
      <c r="D38" s="4" t="inlineStr">
        <is>
          <t>Médiane</t>
        </is>
      </c>
      <c r="E38" s="4" t="inlineStr">
        <is>
          <t>Écart-type</t>
        </is>
      </c>
      <c r="F38" s="4" t="inlineStr">
        <is>
          <t>Min</t>
        </is>
      </c>
      <c r="G38" s="4" t="inlineStr">
        <is>
          <t>Max</t>
        </is>
      </c>
      <c r="H38" s="4" t="inlineStr">
        <is>
          <t>CV %</t>
        </is>
      </c>
    </row>
    <row r="39">
      <c r="A39" s="5" t="inlineStr">
        <is>
          <t>Qté collectée</t>
        </is>
      </c>
      <c r="B39" s="7" t="n">
        <v>15</v>
      </c>
      <c r="C39" s="7" t="n">
        <v>41.7</v>
      </c>
      <c r="D39" s="7" t="n">
        <v>40</v>
      </c>
      <c r="E39" s="7" t="n">
        <v>29.9</v>
      </c>
      <c r="F39" s="7" t="n">
        <v>3</v>
      </c>
      <c r="G39" s="7" t="n">
        <v>100</v>
      </c>
      <c r="H39" s="7" t="n">
        <v>71.7</v>
      </c>
    </row>
    <row r="40">
      <c r="A40" s="6" t="inlineStr">
        <is>
          <t>Qté autoconsommée</t>
        </is>
      </c>
      <c r="B40" s="8" t="n">
        <v>15</v>
      </c>
      <c r="C40" s="8" t="n">
        <v>14.5</v>
      </c>
      <c r="D40" s="8" t="n">
        <v>10</v>
      </c>
      <c r="E40" s="8" t="n">
        <v>15.1</v>
      </c>
      <c r="F40" s="8" t="n">
        <v>0</v>
      </c>
      <c r="G40" s="8" t="n">
        <v>60</v>
      </c>
      <c r="H40" s="8" t="n">
        <v>104</v>
      </c>
    </row>
    <row r="41">
      <c r="A41" s="5" t="inlineStr">
        <is>
          <t>Qté vendue</t>
        </is>
      </c>
      <c r="B41" s="7" t="n">
        <v>15</v>
      </c>
      <c r="C41" s="7" t="n">
        <v>27.2</v>
      </c>
      <c r="D41" s="7" t="n">
        <v>20</v>
      </c>
      <c r="E41" s="7" t="n">
        <v>21.1</v>
      </c>
      <c r="F41" s="7" t="n">
        <v>0</v>
      </c>
      <c r="G41" s="7" t="n">
        <v>60</v>
      </c>
      <c r="H41" s="7" t="n">
        <v>77.40000000000001</v>
      </c>
    </row>
    <row r="42">
      <c r="A42" s="6" t="inlineStr">
        <is>
          <t>Prix unitaire (FCFA)</t>
        </is>
      </c>
      <c r="B42" s="8" t="n">
        <v>13</v>
      </c>
      <c r="C42" s="8" t="n">
        <v>2384.6</v>
      </c>
      <c r="D42" s="8" t="n">
        <v>2500</v>
      </c>
      <c r="E42" s="8" t="n">
        <v>362.5</v>
      </c>
      <c r="F42" s="8" t="n">
        <v>2000</v>
      </c>
      <c r="G42" s="8" t="n">
        <v>3000</v>
      </c>
      <c r="H42" s="8" t="n">
        <v>15.2</v>
      </c>
    </row>
    <row r="43">
      <c r="A43" s="5" t="inlineStr">
        <is>
          <t>Revenu (FCFA)</t>
        </is>
      </c>
      <c r="B43" s="7" t="n">
        <v>15</v>
      </c>
      <c r="C43" s="7" t="n">
        <v>64433.3</v>
      </c>
      <c r="D43" s="7" t="n">
        <v>60000</v>
      </c>
      <c r="E43" s="7" t="n">
        <v>51285.2</v>
      </c>
      <c r="F43" s="7" t="n">
        <v>0</v>
      </c>
      <c r="G43" s="7" t="n">
        <v>180000</v>
      </c>
      <c r="H43" s="7" t="n">
        <v>79.59999999999999</v>
      </c>
    </row>
    <row r="46">
      <c r="A46" s="3" t="inlineStr">
        <is>
          <t>Contribution au revenu total</t>
        </is>
      </c>
    </row>
    <row r="47">
      <c r="A47" s="4" t="inlineStr">
        <is>
          <t>PFNL</t>
        </is>
      </c>
      <c r="B47" s="4" t="inlineStr">
        <is>
          <t>Revenu total (FCFA)</t>
        </is>
      </c>
      <c r="C47" s="4" t="inlineStr">
        <is>
          <t>Part (%)</t>
        </is>
      </c>
    </row>
    <row r="48">
      <c r="A48" s="6" t="inlineStr">
        <is>
          <t>Mango</t>
        </is>
      </c>
      <c r="B48" s="8" t="n">
        <v>10845500</v>
      </c>
      <c r="C48" s="8" t="n">
        <v>39.1</v>
      </c>
    </row>
    <row r="49">
      <c r="A49" s="5" t="inlineStr">
        <is>
          <t>Rondelle</t>
        </is>
      </c>
      <c r="B49" s="7" t="n">
        <v>10107500</v>
      </c>
      <c r="C49" s="7" t="n">
        <v>36.4</v>
      </c>
    </row>
    <row r="50">
      <c r="A50" s="6" t="inlineStr">
        <is>
          <t>Mbalaka</t>
        </is>
      </c>
      <c r="B50" s="8" t="n">
        <v>4795500</v>
      </c>
      <c r="C50" s="8" t="n">
        <v>17.3</v>
      </c>
    </row>
    <row r="51">
      <c r="A51" s="5" t="inlineStr">
        <is>
          <t>Djansang</t>
        </is>
      </c>
      <c r="B51" s="7" t="n">
        <v>1042000</v>
      </c>
      <c r="C51" s="7" t="n">
        <v>3.8</v>
      </c>
    </row>
    <row r="52">
      <c r="A52" s="6" t="inlineStr">
        <is>
          <t>Moabi</t>
        </is>
      </c>
      <c r="B52" s="8" t="n">
        <v>966500</v>
      </c>
      <c r="C52" s="8" t="n">
        <v>3.5</v>
      </c>
    </row>
    <row r="53">
      <c r="A53" s="5" t="inlineStr">
        <is>
          <t>TOTAL</t>
        </is>
      </c>
      <c r="B53" s="7" t="n">
        <v>27757000</v>
      </c>
      <c r="C53" s="7" t="n">
        <v>100</v>
      </c>
    </row>
    <row r="56">
      <c r="A56" s="4" t="inlineStr">
        <is>
          <t>Revenu PFNL total / ménage</t>
        </is>
      </c>
      <c r="B56" s="4" t="inlineStr">
        <is>
          <t>FCFA</t>
        </is>
      </c>
    </row>
    <row r="57">
      <c r="A57" s="5" t="inlineStr">
        <is>
          <t>Moyenne</t>
        </is>
      </c>
      <c r="B57" s="7" t="n">
        <v>555140</v>
      </c>
    </row>
    <row r="58">
      <c r="A58" s="6" t="inlineStr">
        <is>
          <t>Médiane</t>
        </is>
      </c>
      <c r="B58" s="8" t="n">
        <v>498750</v>
      </c>
    </row>
    <row r="59">
      <c r="A59" s="5" t="inlineStr">
        <is>
          <t>Écart-type</t>
        </is>
      </c>
      <c r="B59" s="7" t="n">
        <v>396742</v>
      </c>
    </row>
    <row r="60">
      <c r="A60" s="6" t="inlineStr">
        <is>
          <t>IC 95 % bas</t>
        </is>
      </c>
      <c r="B60" s="8" t="n">
        <v>442387</v>
      </c>
    </row>
    <row r="61">
      <c r="A61" s="5" t="inlineStr">
        <is>
          <t>IC 95 % haut</t>
        </is>
      </c>
      <c r="B61" s="7" t="n">
        <v>667893</v>
      </c>
    </row>
    <row r="62">
      <c r="A62" s="6" t="inlineStr">
        <is>
          <t>Min</t>
        </is>
      </c>
      <c r="B62" s="8" t="n">
        <v>0</v>
      </c>
    </row>
    <row r="63">
      <c r="A63" s="5" t="inlineStr">
        <is>
          <t>Max</t>
        </is>
      </c>
      <c r="B63" s="7" t="n">
        <v>1687500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Indices par agroforêt</t>
        </is>
      </c>
    </row>
    <row r="2">
      <c r="A2" s="4" t="inlineStr">
        <is>
          <t>Agroforêt</t>
        </is>
      </c>
      <c r="B2" s="4" t="inlineStr">
        <is>
          <t>N</t>
        </is>
      </c>
      <c r="C2" s="4" t="inlineStr">
        <is>
          <t>Richesse S</t>
        </is>
      </c>
      <c r="D2" s="4" t="inlineStr">
        <is>
          <t>Shannon H'</t>
        </is>
      </c>
      <c r="E2" s="4" t="inlineStr">
        <is>
          <t>Simpson</t>
        </is>
      </c>
      <c r="F2" s="4" t="inlineStr">
        <is>
          <t>Piélou J</t>
        </is>
      </c>
      <c r="G2" s="4" t="inlineStr">
        <is>
          <t>Densité ind/ha</t>
        </is>
      </c>
      <c r="H2" s="4" t="inlineStr">
        <is>
          <t>ST m²/ha</t>
        </is>
      </c>
    </row>
    <row r="3">
      <c r="A3" s="5" t="inlineStr">
        <is>
          <t>Bibassa</t>
        </is>
      </c>
      <c r="B3" s="7" t="n">
        <v>141</v>
      </c>
      <c r="C3" s="7" t="n">
        <v>63</v>
      </c>
      <c r="D3" s="7" t="n">
        <v>3.579</v>
      </c>
      <c r="E3" s="7" t="n">
        <v>0.947</v>
      </c>
      <c r="F3" s="7" t="n">
        <v>0.864</v>
      </c>
      <c r="G3" s="7" t="n">
        <v>35.43</v>
      </c>
      <c r="H3" s="7" t="n">
        <v>5.05</v>
      </c>
    </row>
    <row r="4">
      <c r="A4" s="6" t="inlineStr">
        <is>
          <t>Ntié</t>
        </is>
      </c>
      <c r="B4" s="8" t="n">
        <v>495</v>
      </c>
      <c r="C4" s="8" t="n">
        <v>91</v>
      </c>
      <c r="D4" s="8" t="n">
        <v>3.482</v>
      </c>
      <c r="E4" s="8" t="n">
        <v>0.9409999999999999</v>
      </c>
      <c r="F4" s="8" t="n">
        <v>0.772</v>
      </c>
      <c r="G4" s="8" t="n">
        <v>68.28</v>
      </c>
      <c r="H4" s="8" t="n">
        <v>16.99</v>
      </c>
    </row>
    <row r="5">
      <c r="A5" s="5" t="inlineStr">
        <is>
          <t>Oshea</t>
        </is>
      </c>
      <c r="B5" s="7" t="n">
        <v>625</v>
      </c>
      <c r="C5" s="7" t="n">
        <v>77</v>
      </c>
      <c r="D5" s="7" t="n">
        <v>3.243</v>
      </c>
      <c r="E5" s="7" t="n">
        <v>0.928</v>
      </c>
      <c r="F5" s="7" t="n">
        <v>0.747</v>
      </c>
      <c r="G5" s="7" t="n">
        <v>34.04</v>
      </c>
      <c r="H5" s="7" t="n">
        <v>8.35</v>
      </c>
    </row>
    <row r="6">
      <c r="A6" s="6" t="inlineStr">
        <is>
          <t>Mekoul</t>
        </is>
      </c>
      <c r="B6" s="8" t="n">
        <v>1118</v>
      </c>
      <c r="C6" s="8" t="n">
        <v>108</v>
      </c>
      <c r="D6" s="8" t="n">
        <v>2.836</v>
      </c>
      <c r="E6" s="8" t="n">
        <v>0.828</v>
      </c>
      <c r="F6" s="8" t="n">
        <v>0.606</v>
      </c>
      <c r="G6" s="8" t="n">
        <v>30.3</v>
      </c>
      <c r="H6" s="8" t="n">
        <v>7.46</v>
      </c>
    </row>
    <row r="9">
      <c r="A9" s="3" t="inlineStr">
        <is>
          <t>Indices et structure par TUT</t>
        </is>
      </c>
    </row>
    <row r="10">
      <c r="A10" s="4" t="inlineStr">
        <is>
          <t>Agroforêt</t>
        </is>
      </c>
      <c r="B10" s="4" t="inlineStr">
        <is>
          <t>TUT</t>
        </is>
      </c>
      <c r="C10" s="4" t="inlineStr">
        <is>
          <t>N</t>
        </is>
      </c>
      <c r="D10" s="4" t="inlineStr">
        <is>
          <t>S</t>
        </is>
      </c>
      <c r="E10" s="4" t="inlineStr">
        <is>
          <t>H'</t>
        </is>
      </c>
      <c r="F10" s="4" t="inlineStr">
        <is>
          <t>Simpson</t>
        </is>
      </c>
      <c r="G10" s="4" t="inlineStr">
        <is>
          <t>Piélou</t>
        </is>
      </c>
      <c r="H10" s="4" t="inlineStr">
        <is>
          <t>Sup. ha</t>
        </is>
      </c>
      <c r="I10" s="4" t="inlineStr">
        <is>
          <t>Densité</t>
        </is>
      </c>
      <c r="J10" s="4" t="inlineStr">
        <is>
          <t>ST m²/ha</t>
        </is>
      </c>
    </row>
    <row r="11">
      <c r="A11" s="5" t="inlineStr">
        <is>
          <t>Bibassa</t>
        </is>
      </c>
      <c r="B11" s="5" t="inlineStr">
        <is>
          <t>Cacaoyère</t>
        </is>
      </c>
      <c r="C11" s="7" t="n">
        <v>86</v>
      </c>
      <c r="D11" s="7" t="n">
        <v>37</v>
      </c>
      <c r="E11" s="7" t="n">
        <v>3.085</v>
      </c>
      <c r="F11" s="7" t="n">
        <v>0.926</v>
      </c>
      <c r="G11" s="7" t="n">
        <v>0.854</v>
      </c>
      <c r="H11" s="7" t="n">
        <v>0.48</v>
      </c>
      <c r="I11" s="7" t="n">
        <v>179.2</v>
      </c>
      <c r="J11" s="7" t="n">
        <v>12.16</v>
      </c>
    </row>
    <row r="12">
      <c r="A12" s="6" t="inlineStr">
        <is>
          <t>Bibassa</t>
        </is>
      </c>
      <c r="B12" s="6" t="inlineStr">
        <is>
          <t>Champs vivriers</t>
        </is>
      </c>
      <c r="C12" s="8" t="n">
        <v>41</v>
      </c>
      <c r="D12" s="8" t="n">
        <v>29</v>
      </c>
      <c r="E12" s="8" t="n">
        <v>3.186</v>
      </c>
      <c r="F12" s="8" t="n">
        <v>0.947</v>
      </c>
      <c r="G12" s="8" t="n">
        <v>0.946</v>
      </c>
      <c r="H12" s="8" t="n">
        <v>2.3</v>
      </c>
      <c r="I12" s="8" t="n">
        <v>17.8</v>
      </c>
      <c r="J12" s="8" t="n">
        <v>4.85</v>
      </c>
    </row>
    <row r="13">
      <c r="A13" s="5" t="inlineStr">
        <is>
          <t>Bibassa</t>
        </is>
      </c>
      <c r="B13" s="5" t="inlineStr">
        <is>
          <t>Jachère</t>
        </is>
      </c>
      <c r="C13" s="7" t="n">
        <v>14</v>
      </c>
      <c r="D13" s="7" t="n">
        <v>8</v>
      </c>
      <c r="E13" s="7" t="n">
        <v>1.772</v>
      </c>
      <c r="F13" s="7" t="n">
        <v>0.765</v>
      </c>
      <c r="G13" s="7" t="n">
        <v>0.852</v>
      </c>
      <c r="H13" s="7" t="n">
        <v>1.14</v>
      </c>
      <c r="I13" s="7" t="n">
        <v>12.3</v>
      </c>
      <c r="J13" s="7" t="n">
        <v>2.74</v>
      </c>
    </row>
    <row r="14">
      <c r="A14" s="6" t="inlineStr">
        <is>
          <t>Mekoul</t>
        </is>
      </c>
      <c r="B14" s="6" t="inlineStr">
        <is>
          <t>Cacaoyère</t>
        </is>
      </c>
      <c r="C14" s="8" t="n">
        <v>657</v>
      </c>
      <c r="D14" s="8" t="n">
        <v>63</v>
      </c>
      <c r="E14" s="8" t="n">
        <v>2.472</v>
      </c>
      <c r="F14" s="8" t="n">
        <v>0.785</v>
      </c>
      <c r="G14" s="8" t="n">
        <v>0.597</v>
      </c>
      <c r="H14" s="8" t="n">
        <v>12.04</v>
      </c>
      <c r="I14" s="8" t="n">
        <v>54.6</v>
      </c>
      <c r="J14" s="8" t="n">
        <v>10.31</v>
      </c>
    </row>
    <row r="15">
      <c r="A15" s="5" t="inlineStr">
        <is>
          <t>Mekoul</t>
        </is>
      </c>
      <c r="B15" s="5" t="inlineStr">
        <is>
          <t>Champs vivriers</t>
        </is>
      </c>
      <c r="C15" s="7" t="n">
        <v>139</v>
      </c>
      <c r="D15" s="7" t="n">
        <v>44</v>
      </c>
      <c r="E15" s="7" t="n">
        <v>3.179</v>
      </c>
      <c r="F15" s="7" t="n">
        <v>0.9330000000000001</v>
      </c>
      <c r="G15" s="7" t="n">
        <v>0.84</v>
      </c>
      <c r="H15" s="7" t="n">
        <v>10.1</v>
      </c>
      <c r="I15" s="7" t="n">
        <v>13.8</v>
      </c>
      <c r="J15" s="7" t="n">
        <v>9.390000000000001</v>
      </c>
    </row>
    <row r="16">
      <c r="A16" s="6" t="inlineStr">
        <is>
          <t>Mekoul</t>
        </is>
      </c>
      <c r="B16" s="6" t="inlineStr">
        <is>
          <t>Jachère</t>
        </is>
      </c>
      <c r="C16" s="8" t="n">
        <v>322</v>
      </c>
      <c r="D16" s="8" t="n">
        <v>52</v>
      </c>
      <c r="E16" s="8" t="n">
        <v>2.543</v>
      </c>
      <c r="F16" s="8" t="n">
        <v>0.782</v>
      </c>
      <c r="G16" s="8" t="n">
        <v>0.644</v>
      </c>
      <c r="H16" s="8" t="n">
        <v>14.61</v>
      </c>
      <c r="I16" s="8" t="n">
        <v>22</v>
      </c>
      <c r="J16" s="8" t="n">
        <v>3.87</v>
      </c>
    </row>
    <row r="17">
      <c r="A17" s="5" t="inlineStr">
        <is>
          <t>Ntié</t>
        </is>
      </c>
      <c r="B17" s="5" t="inlineStr">
        <is>
          <t>Cacaoyère</t>
        </is>
      </c>
      <c r="C17" s="7" t="n">
        <v>89</v>
      </c>
      <c r="D17" s="7" t="n">
        <v>33</v>
      </c>
      <c r="E17" s="7" t="n">
        <v>3.014</v>
      </c>
      <c r="F17" s="7" t="n">
        <v>0.925</v>
      </c>
      <c r="G17" s="7" t="n">
        <v>0.862</v>
      </c>
      <c r="H17" s="7" t="n">
        <v>2.16</v>
      </c>
      <c r="I17" s="7" t="n">
        <v>41.2</v>
      </c>
      <c r="J17" s="7" t="n">
        <v>13.44</v>
      </c>
    </row>
    <row r="18">
      <c r="A18" s="6" t="inlineStr">
        <is>
          <t>Ntié</t>
        </is>
      </c>
      <c r="B18" s="6" t="inlineStr">
        <is>
          <t>Champs vivriers</t>
        </is>
      </c>
      <c r="C18" s="8" t="n">
        <v>33</v>
      </c>
      <c r="D18" s="8" t="n">
        <v>17</v>
      </c>
      <c r="E18" s="8" t="n">
        <v>2.557</v>
      </c>
      <c r="F18" s="8" t="n">
        <v>0.9</v>
      </c>
      <c r="G18" s="8" t="n">
        <v>0.903</v>
      </c>
      <c r="H18" s="8" t="n">
        <v>0.97</v>
      </c>
      <c r="I18" s="8" t="n">
        <v>34</v>
      </c>
      <c r="J18" s="8" t="n">
        <v>3.47</v>
      </c>
    </row>
    <row r="19">
      <c r="A19" s="5" t="inlineStr">
        <is>
          <t>Ntié</t>
        </is>
      </c>
      <c r="B19" s="5" t="inlineStr">
        <is>
          <t>Extension de cacao</t>
        </is>
      </c>
      <c r="C19" s="7" t="n">
        <v>42</v>
      </c>
      <c r="D19" s="7" t="n">
        <v>23</v>
      </c>
      <c r="E19" s="7" t="n">
        <v>2.775</v>
      </c>
      <c r="F19" s="7" t="n">
        <v>0.905</v>
      </c>
      <c r="G19" s="7" t="n">
        <v>0.885</v>
      </c>
      <c r="H19" s="7" t="n">
        <v>0.38</v>
      </c>
      <c r="I19" s="7" t="n">
        <v>110.5</v>
      </c>
      <c r="J19" s="7" t="n">
        <v>31.39</v>
      </c>
    </row>
    <row r="20">
      <c r="A20" s="6" t="inlineStr">
        <is>
          <t>Ntié</t>
        </is>
      </c>
      <c r="B20" s="6" t="inlineStr">
        <is>
          <t>Jachère</t>
        </is>
      </c>
      <c r="C20" s="8" t="n">
        <v>331</v>
      </c>
      <c r="D20" s="8" t="n">
        <v>62</v>
      </c>
      <c r="E20" s="8" t="n">
        <v>3.191</v>
      </c>
      <c r="F20" s="8" t="n">
        <v>0.925</v>
      </c>
      <c r="G20" s="8" t="n">
        <v>0.773</v>
      </c>
      <c r="H20" s="8" t="n">
        <v>3.42</v>
      </c>
      <c r="I20" s="8" t="n">
        <v>96.8</v>
      </c>
      <c r="J20" s="8" t="n">
        <v>23.05</v>
      </c>
    </row>
    <row r="21">
      <c r="A21" s="5" t="inlineStr">
        <is>
          <t>Oshea</t>
        </is>
      </c>
      <c r="B21" s="5" t="inlineStr">
        <is>
          <t>Cacaoyère</t>
        </is>
      </c>
      <c r="C21" s="7" t="n">
        <v>261</v>
      </c>
      <c r="D21" s="7" t="n">
        <v>46</v>
      </c>
      <c r="E21" s="7" t="n">
        <v>2.968</v>
      </c>
      <c r="F21" s="7" t="n">
        <v>0.913</v>
      </c>
      <c r="G21" s="7" t="n">
        <v>0.775</v>
      </c>
      <c r="H21" s="7" t="n">
        <v>4.98</v>
      </c>
      <c r="I21" s="7" t="n">
        <v>52.4</v>
      </c>
      <c r="J21" s="7" t="n">
        <v>7.94</v>
      </c>
    </row>
    <row r="22">
      <c r="A22" s="6" t="inlineStr">
        <is>
          <t>Oshea</t>
        </is>
      </c>
      <c r="B22" s="6" t="inlineStr">
        <is>
          <t>Champs vivriers</t>
        </is>
      </c>
      <c r="C22" s="8" t="n">
        <v>18</v>
      </c>
      <c r="D22" s="8" t="n">
        <v>8</v>
      </c>
      <c r="E22" s="8" t="n">
        <v>1.658</v>
      </c>
      <c r="F22" s="8" t="n">
        <v>0.735</v>
      </c>
      <c r="G22" s="8" t="n">
        <v>0.797</v>
      </c>
      <c r="H22" s="8" t="n">
        <v>1.73</v>
      </c>
      <c r="I22" s="8" t="n">
        <v>10.4</v>
      </c>
      <c r="J22" s="8" t="n">
        <v>4.52</v>
      </c>
    </row>
    <row r="23">
      <c r="A23" s="5" t="inlineStr">
        <is>
          <t>Oshea</t>
        </is>
      </c>
      <c r="B23" s="5" t="inlineStr">
        <is>
          <t>Extension de cacao</t>
        </is>
      </c>
      <c r="C23" s="7" t="n">
        <v>128</v>
      </c>
      <c r="D23" s="7" t="n">
        <v>31</v>
      </c>
      <c r="E23" s="7" t="n">
        <v>2.976</v>
      </c>
      <c r="F23" s="7" t="n">
        <v>0.927</v>
      </c>
      <c r="G23" s="7" t="n">
        <v>0.867</v>
      </c>
      <c r="H23" s="7" t="n">
        <v>3.12</v>
      </c>
      <c r="I23" s="7" t="n">
        <v>41</v>
      </c>
      <c r="J23" s="7" t="n">
        <v>16.38</v>
      </c>
    </row>
    <row r="24">
      <c r="A24" s="6" t="inlineStr">
        <is>
          <t>Oshea</t>
        </is>
      </c>
      <c r="B24" s="6" t="inlineStr">
        <is>
          <t>Jachère</t>
        </is>
      </c>
      <c r="C24" s="8" t="n">
        <v>218</v>
      </c>
      <c r="D24" s="8" t="n">
        <v>35</v>
      </c>
      <c r="E24" s="8" t="n">
        <v>2.391</v>
      </c>
      <c r="F24" s="8" t="n">
        <v>0.8129999999999999</v>
      </c>
      <c r="G24" s="8" t="n">
        <v>0.673</v>
      </c>
      <c r="H24" s="8" t="n">
        <v>7.53</v>
      </c>
      <c r="I24" s="8" t="n">
        <v>29</v>
      </c>
      <c r="J24" s="8" t="n">
        <v>7.29</v>
      </c>
    </row>
    <row r="27">
      <c r="A27" s="3" t="inlineStr">
        <is>
          <t>Espèces dominantes (top 10)</t>
        </is>
      </c>
    </row>
    <row r="28">
      <c r="A28" s="4" t="inlineStr">
        <is>
          <t>Espèce</t>
        </is>
      </c>
      <c r="B28" s="4" t="inlineStr">
        <is>
          <t>Individus</t>
        </is>
      </c>
      <c r="C28" s="4" t="inlineStr">
        <is>
          <t>AR (%)</t>
        </is>
      </c>
    </row>
    <row r="29">
      <c r="A29" s="5" t="inlineStr">
        <is>
          <t>Musanga cecropioides</t>
        </is>
      </c>
      <c r="B29" s="7" t="n">
        <v>618</v>
      </c>
      <c r="C29" s="7" t="n">
        <v>25.98</v>
      </c>
    </row>
    <row r="30">
      <c r="A30" s="6" t="inlineStr">
        <is>
          <t>Terminalia superba</t>
        </is>
      </c>
      <c r="B30" s="8" t="n">
        <v>221</v>
      </c>
      <c r="C30" s="8" t="n">
        <v>9.289999999999999</v>
      </c>
    </row>
    <row r="31">
      <c r="A31" s="5" t="inlineStr">
        <is>
          <t>Ricinodendron heudelotii</t>
        </is>
      </c>
      <c r="B31" s="7" t="n">
        <v>142</v>
      </c>
      <c r="C31" s="7" t="n">
        <v>5.97</v>
      </c>
    </row>
    <row r="32">
      <c r="A32" s="6" t="inlineStr">
        <is>
          <t>Pentaclethra macrophylla</t>
        </is>
      </c>
      <c r="B32" s="8" t="n">
        <v>139</v>
      </c>
      <c r="C32" s="8" t="n">
        <v>5.84</v>
      </c>
    </row>
    <row r="33">
      <c r="A33" s="5" t="inlineStr">
        <is>
          <t>Ficus exasperata</t>
        </is>
      </c>
      <c r="B33" s="7" t="n">
        <v>116</v>
      </c>
      <c r="C33" s="7" t="n">
        <v>4.88</v>
      </c>
    </row>
    <row r="34">
      <c r="A34" s="6" t="inlineStr">
        <is>
          <t>Petersianthus macrocarpus</t>
        </is>
      </c>
      <c r="B34" s="8" t="n">
        <v>85</v>
      </c>
      <c r="C34" s="8" t="n">
        <v>3.57</v>
      </c>
    </row>
    <row r="35">
      <c r="A35" s="5" t="inlineStr">
        <is>
          <t>Pycnanthus angolensis</t>
        </is>
      </c>
      <c r="B35" s="7" t="n">
        <v>72</v>
      </c>
      <c r="C35" s="7" t="n">
        <v>3.03</v>
      </c>
    </row>
    <row r="36">
      <c r="A36" s="6" t="inlineStr">
        <is>
          <t>Bridelia speciosa</t>
        </is>
      </c>
      <c r="B36" s="8" t="n">
        <v>54</v>
      </c>
      <c r="C36" s="8" t="n">
        <v>2.27</v>
      </c>
    </row>
    <row r="37">
      <c r="A37" s="5" t="inlineStr">
        <is>
          <t>Baillonella toxisperma</t>
        </is>
      </c>
      <c r="B37" s="7" t="n">
        <v>48</v>
      </c>
      <c r="C37" s="7" t="n">
        <v>2.02</v>
      </c>
    </row>
    <row r="38">
      <c r="A38" s="6" t="inlineStr">
        <is>
          <t>esp1</t>
        </is>
      </c>
      <c r="B38" s="8" t="n">
        <v>47</v>
      </c>
      <c r="C38" s="8" t="n">
        <v>1.98</v>
      </c>
    </row>
    <row r="41">
      <c r="A41" s="3" t="inlineStr">
        <is>
          <t>Familles dominantes</t>
        </is>
      </c>
    </row>
    <row r="42">
      <c r="A42" s="4" t="inlineStr">
        <is>
          <t>Famille</t>
        </is>
      </c>
      <c r="B42" s="4" t="inlineStr">
        <is>
          <t>Individus</t>
        </is>
      </c>
      <c r="C42" s="4" t="inlineStr">
        <is>
          <t>AR (%)</t>
        </is>
      </c>
    </row>
    <row r="43">
      <c r="A43" s="5" t="inlineStr">
        <is>
          <t>Urticaceae</t>
        </is>
      </c>
      <c r="B43" s="7" t="n">
        <v>619</v>
      </c>
      <c r="C43" s="7" t="n">
        <v>26.02</v>
      </c>
    </row>
    <row r="44">
      <c r="A44" s="6" t="inlineStr">
        <is>
          <t>Fabaceae</t>
        </is>
      </c>
      <c r="B44" s="8" t="n">
        <v>292</v>
      </c>
      <c r="C44" s="8" t="n">
        <v>12.27</v>
      </c>
    </row>
    <row r="45">
      <c r="A45" s="5" t="inlineStr">
        <is>
          <t>Combretaceae</t>
        </is>
      </c>
      <c r="B45" s="7" t="n">
        <v>222</v>
      </c>
      <c r="C45" s="7" t="n">
        <v>9.33</v>
      </c>
    </row>
    <row r="46">
      <c r="A46" s="6" t="inlineStr">
        <is>
          <t>Moraceae</t>
        </is>
      </c>
      <c r="B46" s="8" t="n">
        <v>173</v>
      </c>
      <c r="C46" s="8" t="n">
        <v>7.27</v>
      </c>
    </row>
    <row r="47">
      <c r="A47" s="5" t="inlineStr">
        <is>
          <t>Euphorbiaceae</t>
        </is>
      </c>
      <c r="B47" s="7" t="n">
        <v>144</v>
      </c>
      <c r="C47" s="7" t="n">
        <v>6.05</v>
      </c>
    </row>
    <row r="48">
      <c r="A48" s="6" t="inlineStr">
        <is>
          <t>Apocynaceae</t>
        </is>
      </c>
      <c r="B48" s="8" t="n">
        <v>90</v>
      </c>
      <c r="C48" s="8" t="n">
        <v>3.78</v>
      </c>
    </row>
    <row r="49">
      <c r="A49" s="5" t="inlineStr">
        <is>
          <t>Capparaceae</t>
        </is>
      </c>
      <c r="B49" s="7" t="n">
        <v>85</v>
      </c>
      <c r="C49" s="7" t="n">
        <v>3.57</v>
      </c>
    </row>
    <row r="50">
      <c r="A50" s="6" t="inlineStr">
        <is>
          <t>Sapotaceae</t>
        </is>
      </c>
      <c r="B50" s="8" t="n">
        <v>75</v>
      </c>
      <c r="C50" s="8" t="n">
        <v>3.15</v>
      </c>
    </row>
    <row r="51">
      <c r="A51" s="5" t="inlineStr">
        <is>
          <t>Myristicaceae</t>
        </is>
      </c>
      <c r="B51" s="7" t="n">
        <v>71</v>
      </c>
      <c r="C51" s="7" t="n">
        <v>2.98</v>
      </c>
    </row>
    <row r="52">
      <c r="A52" s="6" t="inlineStr">
        <is>
          <t>Phyllantaceae</t>
        </is>
      </c>
      <c r="B52" s="8" t="n">
        <v>69</v>
      </c>
      <c r="C52" s="8" t="n">
        <v>2.9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Matrice de similarité de Sørensen (%)</t>
        </is>
      </c>
    </row>
    <row r="2">
      <c r="A2" s="4" t="inlineStr">
        <is>
          <t>Agroforêt</t>
        </is>
      </c>
      <c r="B2" s="4" t="inlineStr">
        <is>
          <t>Bibassa</t>
        </is>
      </c>
      <c r="C2" s="4" t="inlineStr">
        <is>
          <t>Ntié</t>
        </is>
      </c>
      <c r="D2" s="4" t="inlineStr">
        <is>
          <t>Oshea</t>
        </is>
      </c>
      <c r="E2" s="4" t="inlineStr">
        <is>
          <t>Mekoul</t>
        </is>
      </c>
    </row>
    <row r="3">
      <c r="A3" s="5" t="inlineStr">
        <is>
          <t>Bibassa</t>
        </is>
      </c>
      <c r="B3" s="7" t="n">
        <v>100</v>
      </c>
      <c r="C3" s="7" t="n">
        <v>27.3</v>
      </c>
      <c r="D3" s="7" t="n">
        <v>30</v>
      </c>
      <c r="E3" s="7" t="n">
        <v>23.4</v>
      </c>
    </row>
    <row r="4">
      <c r="A4" s="6" t="inlineStr">
        <is>
          <t>Ntié</t>
        </is>
      </c>
      <c r="B4" s="8" t="n">
        <v>27.3</v>
      </c>
      <c r="C4" s="8" t="n">
        <v>100</v>
      </c>
      <c r="D4" s="8" t="n">
        <v>40.5</v>
      </c>
      <c r="E4" s="8" t="n">
        <v>31.2</v>
      </c>
    </row>
    <row r="5">
      <c r="A5" s="5" t="inlineStr">
        <is>
          <t>Oshea</t>
        </is>
      </c>
      <c r="B5" s="7" t="n">
        <v>30</v>
      </c>
      <c r="C5" s="7" t="n">
        <v>40.5</v>
      </c>
      <c r="D5" s="7" t="n">
        <v>100</v>
      </c>
      <c r="E5" s="7" t="n">
        <v>40</v>
      </c>
    </row>
    <row r="6">
      <c r="A6" s="6" t="inlineStr">
        <is>
          <t>Mekoul</t>
        </is>
      </c>
      <c r="B6" s="8" t="n">
        <v>23.4</v>
      </c>
      <c r="C6" s="8" t="n">
        <v>31.2</v>
      </c>
      <c r="D6" s="8" t="n">
        <v>40</v>
      </c>
      <c r="E6" s="8" t="n">
        <v>100</v>
      </c>
    </row>
    <row r="9">
      <c r="A9" s="3" t="inlineStr">
        <is>
          <t>Distribution par classe de diamètre (%)</t>
        </is>
      </c>
    </row>
    <row r="10">
      <c r="A10" s="4" t="inlineStr">
        <is>
          <t>Classe DHP (cm)</t>
        </is>
      </c>
      <c r="B10" s="4" t="inlineStr">
        <is>
          <t>Bibassa</t>
        </is>
      </c>
      <c r="C10" s="4" t="inlineStr">
        <is>
          <t>Ntié</t>
        </is>
      </c>
      <c r="D10" s="4" t="inlineStr">
        <is>
          <t>Oshea</t>
        </is>
      </c>
      <c r="E10" s="4" t="inlineStr">
        <is>
          <t>Mekoul</t>
        </is>
      </c>
    </row>
    <row r="11">
      <c r="A11" s="5" t="inlineStr">
        <is>
          <t>[10;20[</t>
        </is>
      </c>
      <c r="B11" s="7" t="n">
        <v>29.1</v>
      </c>
      <c r="C11" s="7" t="n">
        <v>30.1</v>
      </c>
      <c r="D11" s="7" t="n">
        <v>24.5</v>
      </c>
      <c r="E11" s="7" t="n">
        <v>25</v>
      </c>
    </row>
    <row r="12">
      <c r="A12" s="6" t="inlineStr">
        <is>
          <t>[20;30[</t>
        </is>
      </c>
      <c r="B12" s="8" t="n">
        <v>24.1</v>
      </c>
      <c r="C12" s="8" t="n">
        <v>17.8</v>
      </c>
      <c r="D12" s="8" t="n">
        <v>25.3</v>
      </c>
      <c r="E12" s="8" t="n">
        <v>21.9</v>
      </c>
    </row>
    <row r="13">
      <c r="A13" s="5" t="inlineStr">
        <is>
          <t>[30;40[</t>
        </is>
      </c>
      <c r="B13" s="7" t="n">
        <v>18.4</v>
      </c>
      <c r="C13" s="7" t="n">
        <v>11.1</v>
      </c>
      <c r="D13" s="7" t="n">
        <v>12</v>
      </c>
      <c r="E13" s="7" t="n">
        <v>14</v>
      </c>
    </row>
    <row r="14">
      <c r="A14" s="6" t="inlineStr">
        <is>
          <t>[40;50[</t>
        </is>
      </c>
      <c r="B14" s="8" t="n">
        <v>12.1</v>
      </c>
      <c r="C14" s="8" t="n">
        <v>7.3</v>
      </c>
      <c r="D14" s="8" t="n">
        <v>7.5</v>
      </c>
      <c r="E14" s="8" t="n">
        <v>12</v>
      </c>
    </row>
    <row r="15">
      <c r="A15" s="5" t="inlineStr">
        <is>
          <t>[50;60[</t>
        </is>
      </c>
      <c r="B15" s="7" t="n">
        <v>4.3</v>
      </c>
      <c r="C15" s="7" t="n">
        <v>6.7</v>
      </c>
      <c r="D15" s="7" t="n">
        <v>7.4</v>
      </c>
      <c r="E15" s="7" t="n">
        <v>6.5</v>
      </c>
    </row>
    <row r="16">
      <c r="A16" s="6" t="inlineStr">
        <is>
          <t>[60;70[</t>
        </is>
      </c>
      <c r="B16" s="8" t="n">
        <v>2.1</v>
      </c>
      <c r="C16" s="8" t="n">
        <v>7.7</v>
      </c>
      <c r="D16" s="8" t="n">
        <v>6.9</v>
      </c>
      <c r="E16" s="8" t="n">
        <v>5.1</v>
      </c>
    </row>
    <row r="17">
      <c r="A17" s="5" t="inlineStr">
        <is>
          <t>[70;80[</t>
        </is>
      </c>
      <c r="B17" s="7" t="n">
        <v>2.8</v>
      </c>
      <c r="C17" s="7" t="n">
        <v>5.3</v>
      </c>
      <c r="D17" s="7" t="n">
        <v>4.3</v>
      </c>
      <c r="E17" s="7" t="n">
        <v>3.7</v>
      </c>
    </row>
    <row r="18">
      <c r="A18" s="6" t="inlineStr">
        <is>
          <t>[80;90[</t>
        </is>
      </c>
      <c r="B18" s="8" t="n">
        <v>2.8</v>
      </c>
      <c r="C18" s="8" t="n">
        <v>3.8</v>
      </c>
      <c r="D18" s="8" t="n">
        <v>2.6</v>
      </c>
      <c r="E18" s="8" t="n">
        <v>1.9</v>
      </c>
    </row>
    <row r="19">
      <c r="A19" s="5" t="inlineStr">
        <is>
          <t>[90;100[</t>
        </is>
      </c>
      <c r="B19" s="7" t="n">
        <v>2.1</v>
      </c>
      <c r="C19" s="7" t="n">
        <v>3.6</v>
      </c>
      <c r="D19" s="7" t="n">
        <v>3.5</v>
      </c>
      <c r="E19" s="7" t="n">
        <v>2</v>
      </c>
    </row>
    <row r="20">
      <c r="A20" s="6" t="inlineStr">
        <is>
          <t>≥100</t>
        </is>
      </c>
      <c r="B20" s="8" t="n">
        <v>2.1</v>
      </c>
      <c r="C20" s="8" t="n">
        <v>6.7</v>
      </c>
      <c r="D20" s="8" t="n">
        <v>6.1</v>
      </c>
      <c r="E20" s="8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3" t="inlineStr">
        <is>
          <t>Contraintes par maillon (n=50)</t>
        </is>
      </c>
    </row>
    <row r="2">
      <c r="A2" s="4" t="inlineStr">
        <is>
          <t>Maillon</t>
        </is>
      </c>
      <c r="B2" s="4" t="inlineStr">
        <is>
          <t>Effectif</t>
        </is>
      </c>
      <c r="C2" s="4" t="inlineStr">
        <is>
          <t>%</t>
        </is>
      </c>
    </row>
    <row r="3">
      <c r="A3" s="5" t="inlineStr">
        <is>
          <t>Collecte</t>
        </is>
      </c>
      <c r="B3" s="7" t="n">
        <v>25</v>
      </c>
      <c r="C3" s="7" t="n">
        <v>50</v>
      </c>
    </row>
    <row r="4">
      <c r="A4" s="6" t="inlineStr">
        <is>
          <t>Vente/Prix</t>
        </is>
      </c>
      <c r="B4" s="8" t="n">
        <v>20</v>
      </c>
      <c r="C4" s="8" t="n">
        <v>40</v>
      </c>
    </row>
    <row r="5">
      <c r="A5" s="5" t="inlineStr">
        <is>
          <t>Transport</t>
        </is>
      </c>
      <c r="B5" s="7" t="n">
        <v>14</v>
      </c>
      <c r="C5" s="7" t="n">
        <v>28</v>
      </c>
    </row>
    <row r="6">
      <c r="A6" s="6" t="inlineStr">
        <is>
          <t>Production</t>
        </is>
      </c>
      <c r="B6" s="8" t="n">
        <v>10</v>
      </c>
      <c r="C6" s="8" t="n">
        <v>20</v>
      </c>
    </row>
    <row r="9">
      <c r="A9" s="3" t="inlineStr">
        <is>
          <t>Difficultés spécifiques</t>
        </is>
      </c>
    </row>
    <row r="10">
      <c r="A10" s="4" t="inlineStr">
        <is>
          <t>Difficulté spécifique</t>
        </is>
      </c>
      <c r="B10" s="4" t="inlineStr">
        <is>
          <t>Effectif</t>
        </is>
      </c>
      <c r="C10" s="4" t="inlineStr">
        <is>
          <t>%</t>
        </is>
      </c>
    </row>
    <row r="11">
      <c r="A11" s="5" t="inlineStr">
        <is>
          <t>Variabilité des prix</t>
        </is>
      </c>
      <c r="B11" s="7" t="n">
        <v>13</v>
      </c>
      <c r="C11" s="7" t="n">
        <v>26</v>
      </c>
    </row>
    <row r="12">
      <c r="A12" s="6" t="inlineStr">
        <is>
          <t>Manque/coût de moyen de transport</t>
        </is>
      </c>
      <c r="B12" s="8" t="n">
        <v>12</v>
      </c>
      <c r="C12" s="8" t="n">
        <v>24</v>
      </c>
    </row>
    <row r="13">
      <c r="A13" s="5" t="inlineStr">
        <is>
          <t>Saison sans PFNL (saisonnalité)</t>
        </is>
      </c>
      <c r="B13" s="7" t="n">
        <v>10</v>
      </c>
      <c r="C13" s="7" t="n">
        <v>20</v>
      </c>
    </row>
    <row r="14">
      <c r="A14" s="6" t="inlineStr">
        <is>
          <t>Manque d'acheteurs / retard ventes groupées</t>
        </is>
      </c>
      <c r="B14" s="8" t="n">
        <v>10</v>
      </c>
      <c r="C14" s="8" t="n">
        <v>20</v>
      </c>
    </row>
    <row r="15">
      <c r="A15" s="5" t="inlineStr">
        <is>
          <t>Problème de ration alimentaire</t>
        </is>
      </c>
      <c r="B15" s="7" t="n">
        <v>9</v>
      </c>
      <c r="C15" s="7" t="n">
        <v>18</v>
      </c>
    </row>
    <row r="16">
      <c r="A16" s="6" t="inlineStr">
        <is>
          <t>Zones de collecte éloignées / marche à pied</t>
        </is>
      </c>
      <c r="B16" s="8" t="n">
        <v>7</v>
      </c>
      <c r="C16" s="8" t="n">
        <v>14</v>
      </c>
    </row>
    <row r="17">
      <c r="A17" s="5" t="inlineStr">
        <is>
          <t>Insécurité en forêt</t>
        </is>
      </c>
      <c r="B17" s="7" t="n">
        <v>6</v>
      </c>
      <c r="C17" s="7" t="n">
        <v>12</v>
      </c>
    </row>
    <row r="18">
      <c r="A18" s="6" t="inlineStr">
        <is>
          <t>Pas de matériel de collecte</t>
        </is>
      </c>
      <c r="B18" s="8" t="n">
        <v>6</v>
      </c>
      <c r="C18" s="8" t="n">
        <v>12</v>
      </c>
    </row>
    <row r="19">
      <c r="A19" s="5" t="inlineStr">
        <is>
          <t>Pluies en forêt</t>
        </is>
      </c>
      <c r="B19" s="7" t="n">
        <v>4</v>
      </c>
      <c r="C19" s="7" t="n">
        <v>8</v>
      </c>
    </row>
    <row r="20">
      <c r="A20" s="6" t="inlineStr">
        <is>
          <t>Vol des produits</t>
        </is>
      </c>
      <c r="B20" s="8" t="n">
        <v>3</v>
      </c>
      <c r="C20" s="8" t="n">
        <v>6</v>
      </c>
    </row>
    <row r="21">
      <c r="A21" s="5" t="inlineStr">
        <is>
          <t>Maladies</t>
        </is>
      </c>
      <c r="B21" s="7" t="n">
        <v>3</v>
      </c>
      <c r="C21" s="7" t="n">
        <v>6</v>
      </c>
    </row>
    <row r="22">
      <c r="A22" s="6" t="inlineStr">
        <is>
          <t>Escroquerie</t>
        </is>
      </c>
      <c r="B22" s="8" t="n">
        <v>1</v>
      </c>
      <c r="C22" s="8" t="n">
        <v>2</v>
      </c>
    </row>
    <row r="25">
      <c r="A25" s="3" t="inlineStr">
        <is>
          <t>Utilisations des revenus PFNL</t>
        </is>
      </c>
    </row>
    <row r="26">
      <c r="A26" s="4" t="inlineStr">
        <is>
          <t>Utilisation des revenus</t>
        </is>
      </c>
      <c r="B26" s="4" t="inlineStr">
        <is>
          <t>Effectif</t>
        </is>
      </c>
      <c r="C26" s="4" t="inlineStr">
        <is>
          <t>%</t>
        </is>
      </c>
    </row>
    <row r="27">
      <c r="A27" s="5" t="inlineStr">
        <is>
          <t>Scolarité des enfants</t>
        </is>
      </c>
      <c r="B27" s="7" t="n">
        <v>48</v>
      </c>
      <c r="C27" s="7" t="n">
        <v>96</v>
      </c>
    </row>
    <row r="28">
      <c r="A28" s="6" t="inlineStr">
        <is>
          <t>Ration alimentaire</t>
        </is>
      </c>
      <c r="B28" s="8" t="n">
        <v>24</v>
      </c>
      <c r="C28" s="8" t="n">
        <v>48</v>
      </c>
    </row>
    <row r="29">
      <c r="A29" s="5" t="inlineStr">
        <is>
          <t>Santé</t>
        </is>
      </c>
      <c r="B29" s="7" t="n">
        <v>12</v>
      </c>
      <c r="C29" s="7" t="n">
        <v>24</v>
      </c>
    </row>
    <row r="30">
      <c r="A30" s="6" t="inlineStr">
        <is>
          <t>Projets</t>
        </is>
      </c>
      <c r="B30" s="8" t="n">
        <v>4</v>
      </c>
      <c r="C30" s="8" t="n">
        <v>8</v>
      </c>
    </row>
    <row r="31">
      <c r="A31" s="5" t="inlineStr">
        <is>
          <t>Main d'œuvre pour les champs</t>
        </is>
      </c>
      <c r="B31" s="7" t="n">
        <v>4</v>
      </c>
      <c r="C31" s="7" t="n">
        <v>8</v>
      </c>
    </row>
    <row r="32">
      <c r="A32" s="6" t="inlineStr">
        <is>
          <t>Ustensiles de cuisine</t>
        </is>
      </c>
      <c r="B32" s="8" t="n">
        <v>2</v>
      </c>
      <c r="C32" s="8" t="n">
        <v>4</v>
      </c>
    </row>
    <row r="33">
      <c r="A33" s="5" t="inlineStr">
        <is>
          <t>Fond de commerce</t>
        </is>
      </c>
      <c r="B33" s="7" t="n">
        <v>2</v>
      </c>
      <c r="C33" s="7" t="n">
        <v>4</v>
      </c>
    </row>
    <row r="34">
      <c r="A34" s="6" t="inlineStr">
        <is>
          <t>Tontines</t>
        </is>
      </c>
      <c r="B34" s="8" t="n">
        <v>1</v>
      </c>
      <c r="C34" s="8" t="n">
        <v>2</v>
      </c>
    </row>
    <row r="35">
      <c r="A35" s="5" t="inlineStr">
        <is>
          <t>Dettes</t>
        </is>
      </c>
      <c r="B35" s="7" t="n">
        <v>1</v>
      </c>
      <c r="C35" s="7" t="n">
        <v>2</v>
      </c>
    </row>
    <row r="38">
      <c r="A38" s="3" t="inlineStr">
        <is>
          <t>Lieux de collecte</t>
        </is>
      </c>
    </row>
    <row r="39">
      <c r="A39" s="4" t="inlineStr">
        <is>
          <t>Lieu de collecte</t>
        </is>
      </c>
      <c r="B39" s="4" t="inlineStr">
        <is>
          <t>Effectif</t>
        </is>
      </c>
      <c r="C39" s="4" t="inlineStr">
        <is>
          <t>%</t>
        </is>
      </c>
    </row>
    <row r="40">
      <c r="A40" s="6" t="inlineStr">
        <is>
          <t>Forêt</t>
        </is>
      </c>
      <c r="B40" s="8" t="n">
        <v>22</v>
      </c>
      <c r="C40" s="8" t="n">
        <v>44</v>
      </c>
    </row>
    <row r="41">
      <c r="A41" s="5" t="inlineStr">
        <is>
          <t>Village et Forêt</t>
        </is>
      </c>
      <c r="B41" s="7" t="n">
        <v>21</v>
      </c>
      <c r="C41" s="7" t="n">
        <v>42</v>
      </c>
    </row>
    <row r="42">
      <c r="A42" s="6" t="inlineStr">
        <is>
          <t>Village</t>
        </is>
      </c>
      <c r="B42" s="8" t="n">
        <v>7</v>
      </c>
      <c r="C42" s="8" t="n">
        <v>14</v>
      </c>
    </row>
    <row r="45">
      <c r="A45" s="3" t="inlineStr">
        <is>
          <t>Zones de collecte en forêt</t>
        </is>
      </c>
    </row>
    <row r="46">
      <c r="A46" s="4" t="inlineStr">
        <is>
          <t>Zone en forêt</t>
        </is>
      </c>
      <c r="B46" s="4" t="inlineStr">
        <is>
          <t>Mentions</t>
        </is>
      </c>
    </row>
    <row r="47">
      <c r="A47" s="5" t="inlineStr">
        <is>
          <t>UFA</t>
        </is>
      </c>
      <c r="B47" s="7" t="n">
        <v>25</v>
      </c>
    </row>
    <row r="48">
      <c r="A48" s="6" t="inlineStr">
        <is>
          <t>Forêt non attribuée</t>
        </is>
      </c>
      <c r="B48" s="8" t="n">
        <v>9</v>
      </c>
    </row>
    <row r="49">
      <c r="A49" s="5" t="inlineStr">
        <is>
          <t>Forêt communautaire</t>
        </is>
      </c>
      <c r="B49" s="7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4" customWidth="1" min="5" max="5"/>
  </cols>
  <sheetData>
    <row r="1">
      <c r="A1" s="9" t="inlineStr">
        <is>
          <t>Facteurs déterminant le revenu PFNL total (tests non paramétriques)</t>
        </is>
      </c>
    </row>
    <row r="3">
      <c r="A3" s="10" t="inlineStr">
        <is>
          <t>Facteur</t>
        </is>
      </c>
      <c r="B3" s="10" t="inlineStr">
        <is>
          <t>Test</t>
        </is>
      </c>
      <c r="C3" s="10" t="inlineStr">
        <is>
          <t>Statistique</t>
        </is>
      </c>
      <c r="D3" s="10" t="inlineStr">
        <is>
          <t>p-value</t>
        </is>
      </c>
      <c r="E3" s="10" t="inlineStr">
        <is>
          <t>Significatif ?</t>
        </is>
      </c>
    </row>
    <row r="4">
      <c r="A4" s="11" t="inlineStr">
        <is>
          <t>Ancienneté dans la collecte</t>
        </is>
      </c>
      <c r="B4" s="11" t="inlineStr">
        <is>
          <t>Kruskal-Wallis</t>
        </is>
      </c>
      <c r="C4" s="11" t="inlineStr">
        <is>
          <t>H = 27.23</t>
        </is>
      </c>
      <c r="D4" s="11" t="inlineStr">
        <is>
          <t>&lt; 0,001</t>
        </is>
      </c>
      <c r="E4" s="11" t="inlineStr">
        <is>
          <t>OUI</t>
        </is>
      </c>
    </row>
    <row r="5">
      <c r="A5" s="11" t="inlineStr">
        <is>
          <t>Nombre de PFNL collectés</t>
        </is>
      </c>
      <c r="B5" s="11" t="inlineStr">
        <is>
          <t>Spearman</t>
        </is>
      </c>
      <c r="C5" s="11" t="inlineStr">
        <is>
          <t>ρ = 0.524</t>
        </is>
      </c>
      <c r="D5" s="11" t="inlineStr">
        <is>
          <t>&lt; 0,001</t>
        </is>
      </c>
      <c r="E5" s="11" t="inlineStr">
        <is>
          <t>OUI</t>
        </is>
      </c>
    </row>
    <row r="6">
      <c r="A6" s="11" t="inlineStr">
        <is>
          <t>Groupe ethnique (Baka/Zimé)</t>
        </is>
      </c>
      <c r="B6" s="11" t="inlineStr">
        <is>
          <t>Mann-Whitney</t>
        </is>
      </c>
      <c r="C6" s="11" t="inlineStr">
        <is>
          <t>U = 15.5</t>
        </is>
      </c>
      <c r="D6" s="11" t="n">
        <v>0.0028</v>
      </c>
      <c r="E6" s="11" t="inlineStr">
        <is>
          <t>OUI</t>
        </is>
      </c>
    </row>
    <row r="7">
      <c r="A7" s="11" t="inlineStr">
        <is>
          <t>Appartenance au GIC</t>
        </is>
      </c>
      <c r="B7" s="11" t="inlineStr">
        <is>
          <t>Kruskal-Wallis</t>
        </is>
      </c>
      <c r="C7" s="11" t="inlineStr">
        <is>
          <t>H = 11.14</t>
        </is>
      </c>
      <c r="D7" s="11" t="n">
        <v>0.011</v>
      </c>
      <c r="E7" s="11" t="inlineStr">
        <is>
          <t>OUI</t>
        </is>
      </c>
    </row>
    <row r="8">
      <c r="A8" s="11" t="inlineStr">
        <is>
          <t>Lieux de collecte</t>
        </is>
      </c>
      <c r="B8" s="11" t="inlineStr">
        <is>
          <t>Kruskal-Wallis</t>
        </is>
      </c>
      <c r="C8" s="11" t="inlineStr">
        <is>
          <t>H = 6.0</t>
        </is>
      </c>
      <c r="D8" s="11" t="n">
        <v>0.0497</v>
      </c>
      <c r="E8" s="11" t="inlineStr">
        <is>
          <t>OUI</t>
        </is>
      </c>
    </row>
    <row r="9">
      <c r="A9" s="5" t="inlineStr">
        <is>
          <t>Recours à une main-d'œuvre</t>
        </is>
      </c>
      <c r="B9" s="5" t="inlineStr">
        <is>
          <t>Mann-Whitney</t>
        </is>
      </c>
      <c r="C9" s="5" t="inlineStr">
        <is>
          <t>U = 325.5</t>
        </is>
      </c>
      <c r="D9" s="5" t="n">
        <v>0.1147</v>
      </c>
      <c r="E9" s="5" t="inlineStr">
        <is>
          <t>non</t>
        </is>
      </c>
    </row>
    <row r="10">
      <c r="A10" s="5" t="inlineStr">
        <is>
          <t>Collecte en UFA</t>
        </is>
      </c>
      <c r="B10" s="5" t="inlineStr">
        <is>
          <t>Mann-Whitney</t>
        </is>
      </c>
      <c r="C10" s="5" t="inlineStr">
        <is>
          <t>U = 366.5</t>
        </is>
      </c>
      <c r="D10" s="5" t="n">
        <v>0.2943</v>
      </c>
      <c r="E10" s="5" t="inlineStr">
        <is>
          <t>non</t>
        </is>
      </c>
    </row>
    <row r="11">
      <c r="A11" s="5" t="inlineStr">
        <is>
          <t>Sexe</t>
        </is>
      </c>
      <c r="B11" s="5" t="inlineStr">
        <is>
          <t>Mann-Whitney</t>
        </is>
      </c>
      <c r="C11" s="5" t="inlineStr">
        <is>
          <t>U = 322.0</t>
        </is>
      </c>
      <c r="D11" s="5" t="n">
        <v>0.1332</v>
      </c>
      <c r="E11" s="5" t="inlineStr">
        <is>
          <t>non</t>
        </is>
      </c>
    </row>
    <row r="12">
      <c r="A12" s="5" t="inlineStr">
        <is>
          <t>Niveau d'instruction</t>
        </is>
      </c>
      <c r="B12" s="5" t="inlineStr">
        <is>
          <t>Kruskal-Wallis</t>
        </is>
      </c>
      <c r="C12" s="5" t="inlineStr">
        <is>
          <t>H = 1.74</t>
        </is>
      </c>
      <c r="D12" s="5" t="n">
        <v>0.6288</v>
      </c>
      <c r="E12" s="5" t="inlineStr">
        <is>
          <t>non</t>
        </is>
      </c>
    </row>
    <row r="13">
      <c r="A13" s="5" t="inlineStr">
        <is>
          <t>Taille du ménage</t>
        </is>
      </c>
      <c r="B13" s="5" t="inlineStr">
        <is>
          <t>Kruskal-Wallis</t>
        </is>
      </c>
      <c r="C13" s="5" t="inlineStr">
        <is>
          <t>H = 0.1</t>
        </is>
      </c>
      <c r="D13" s="5" t="n">
        <v>0.9923999999999999</v>
      </c>
      <c r="E13" s="5" t="inlineStr">
        <is>
          <t>non</t>
        </is>
      </c>
    </row>
    <row r="16">
      <c r="A16" s="12" t="inlineStr">
        <is>
          <t>Moyennes par groupe — facteurs significatifs</t>
        </is>
      </c>
    </row>
    <row r="17">
      <c r="A17" s="13" t="inlineStr">
        <is>
          <t>Ancienneté dans la collecte</t>
        </is>
      </c>
    </row>
    <row r="18">
      <c r="A18" s="14" t="inlineStr">
        <is>
          <t>Groupe</t>
        </is>
      </c>
      <c r="B18" s="14" t="inlineStr">
        <is>
          <t>n</t>
        </is>
      </c>
      <c r="C18" s="14" t="inlineStr">
        <is>
          <t>Moyenne (FCFA)</t>
        </is>
      </c>
      <c r="D18" s="14" t="inlineStr">
        <is>
          <t>Médiane (FCFA)</t>
        </is>
      </c>
    </row>
    <row r="19">
      <c r="A19" s="5" t="inlineStr">
        <is>
          <t>Moins de 5 ans</t>
        </is>
      </c>
      <c r="B19" s="5" t="n">
        <v>15</v>
      </c>
      <c r="C19" s="5" t="n">
        <v>155700</v>
      </c>
      <c r="D19" s="5" t="n">
        <v>145500</v>
      </c>
    </row>
    <row r="20">
      <c r="A20" s="5" t="inlineStr">
        <is>
          <t>Entre 5 et 10 ans</t>
        </is>
      </c>
      <c r="B20" s="5" t="n">
        <v>7</v>
      </c>
      <c r="C20" s="5" t="n">
        <v>776643</v>
      </c>
      <c r="D20" s="5" t="n">
        <v>636500</v>
      </c>
    </row>
    <row r="21">
      <c r="A21" s="5" t="inlineStr">
        <is>
          <t>Entre 10 et 15 ans</t>
        </is>
      </c>
      <c r="B21" s="5" t="n">
        <v>13</v>
      </c>
      <c r="C21" s="5" t="n">
        <v>753346</v>
      </c>
      <c r="D21" s="5" t="n">
        <v>774250</v>
      </c>
    </row>
    <row r="22">
      <c r="A22" s="5" t="inlineStr">
        <is>
          <t>Entre 15 et 20 ans</t>
        </is>
      </c>
      <c r="B22" s="5" t="n">
        <v>9</v>
      </c>
      <c r="C22" s="5" t="n">
        <v>725972</v>
      </c>
      <c r="D22" s="5" t="n">
        <v>684500</v>
      </c>
    </row>
    <row r="23">
      <c r="A23" s="5" t="inlineStr">
        <is>
          <t>Plus de 20 ans</t>
        </is>
      </c>
      <c r="B23" s="5" t="n">
        <v>6</v>
      </c>
      <c r="C23" s="5" t="n">
        <v>609625</v>
      </c>
      <c r="D23" s="5" t="n">
        <v>529375</v>
      </c>
    </row>
    <row r="25">
      <c r="A25" s="13" t="inlineStr">
        <is>
          <t>Appartenance au GIC</t>
        </is>
      </c>
    </row>
    <row r="26">
      <c r="A26" s="14" t="inlineStr">
        <is>
          <t>Groupe</t>
        </is>
      </c>
      <c r="B26" s="14" t="inlineStr">
        <is>
          <t>n</t>
        </is>
      </c>
      <c r="C26" s="14" t="inlineStr">
        <is>
          <t>Moyenne (FCFA)</t>
        </is>
      </c>
      <c r="D26" s="14" t="inlineStr">
        <is>
          <t>Médiane (FCFA)</t>
        </is>
      </c>
    </row>
    <row r="27">
      <c r="A27" s="5" t="inlineStr">
        <is>
          <t>Mpoulah Mepeh</t>
        </is>
      </c>
      <c r="B27" s="5" t="n">
        <v>17</v>
      </c>
      <c r="C27" s="5" t="n">
        <v>436647</v>
      </c>
      <c r="D27" s="5" t="n">
        <v>300000</v>
      </c>
    </row>
    <row r="28">
      <c r="A28" s="5" t="inlineStr">
        <is>
          <t>Lumière plus</t>
        </is>
      </c>
      <c r="B28" s="5" t="n">
        <v>20</v>
      </c>
      <c r="C28" s="5" t="n">
        <v>655612</v>
      </c>
      <c r="D28" s="5" t="n">
        <v>578750</v>
      </c>
    </row>
    <row r="29">
      <c r="A29" s="5" t="inlineStr">
        <is>
          <t>PLACKO</t>
        </is>
      </c>
      <c r="B29" s="5" t="n">
        <v>7</v>
      </c>
      <c r="C29" s="5" t="n">
        <v>815036</v>
      </c>
      <c r="D29" s="5" t="n">
        <v>792500</v>
      </c>
    </row>
    <row r="30">
      <c r="A30" s="5" t="inlineStr">
        <is>
          <t>Femmes Dynamiques</t>
        </is>
      </c>
      <c r="B30" s="5" t="n">
        <v>6</v>
      </c>
      <c r="C30" s="5" t="n">
        <v>252750</v>
      </c>
      <c r="D30" s="5" t="n">
        <v>221250</v>
      </c>
    </row>
    <row r="32">
      <c r="A32" s="13" t="inlineStr">
        <is>
          <t>Lieux de collecte</t>
        </is>
      </c>
    </row>
    <row r="33">
      <c r="A33" s="14" t="inlineStr">
        <is>
          <t>Groupe</t>
        </is>
      </c>
      <c r="B33" s="14" t="inlineStr">
        <is>
          <t>n</t>
        </is>
      </c>
      <c r="C33" s="14" t="inlineStr">
        <is>
          <t>Moyenne (FCFA)</t>
        </is>
      </c>
      <c r="D33" s="14" t="inlineStr">
        <is>
          <t>Médiane (FCFA)</t>
        </is>
      </c>
    </row>
    <row r="34">
      <c r="A34" s="5" t="inlineStr">
        <is>
          <t>Village et Forêt</t>
        </is>
      </c>
      <c r="B34" s="5" t="n">
        <v>21</v>
      </c>
      <c r="C34" s="5" t="n">
        <v>651762</v>
      </c>
      <c r="D34" s="5" t="n">
        <v>594250</v>
      </c>
    </row>
    <row r="35">
      <c r="A35" s="5" t="inlineStr">
        <is>
          <t>Forêt</t>
        </is>
      </c>
      <c r="B35" s="5" t="n">
        <v>22</v>
      </c>
      <c r="C35" s="5" t="n">
        <v>555364</v>
      </c>
      <c r="D35" s="5" t="n">
        <v>463125</v>
      </c>
    </row>
    <row r="36">
      <c r="A36" s="5" t="inlineStr">
        <is>
          <t>Village</t>
        </is>
      </c>
      <c r="B36" s="5" t="n">
        <v>7</v>
      </c>
      <c r="C36" s="5" t="n">
        <v>264571</v>
      </c>
      <c r="D36" s="5" t="n">
        <v>231000</v>
      </c>
    </row>
    <row r="38">
      <c r="A38" s="13" t="inlineStr">
        <is>
          <t>Groupe ethnique (Baka/Zimé)</t>
        </is>
      </c>
    </row>
    <row r="39">
      <c r="A39" s="14" t="inlineStr">
        <is>
          <t>Groupe</t>
        </is>
      </c>
      <c r="B39" s="14" t="inlineStr">
        <is>
          <t>n</t>
        </is>
      </c>
      <c r="C39" s="14" t="inlineStr">
        <is>
          <t>Moyenne (FCFA)</t>
        </is>
      </c>
      <c r="D39" s="14" t="inlineStr">
        <is>
          <t>Médiane (FCFA)</t>
        </is>
      </c>
    </row>
    <row r="40">
      <c r="A40" s="5" t="inlineStr">
        <is>
          <t>Baka</t>
        </is>
      </c>
      <c r="B40" s="5" t="n">
        <v>5</v>
      </c>
      <c r="C40" s="5" t="n">
        <v>100500</v>
      </c>
      <c r="D40" s="5" t="n">
        <v>73500</v>
      </c>
    </row>
    <row r="41">
      <c r="A41" s="5" t="inlineStr">
        <is>
          <t>Zimé</t>
        </is>
      </c>
      <c r="B41" s="5" t="n">
        <v>38</v>
      </c>
      <c r="C41" s="5" t="n">
        <v>562618</v>
      </c>
      <c r="D41" s="5" t="n">
        <v>540250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2" customWidth="1" min="5" max="5"/>
    <col width="14" customWidth="1" min="6" max="6"/>
  </cols>
  <sheetData>
    <row r="1">
      <c r="A1" s="15" t="inlineStr">
        <is>
          <t>Régression linéaire multiple — variable expliquée : log(1 + revenu PFNL total)</t>
        </is>
      </c>
    </row>
    <row r="2">
      <c r="A2" t="inlineStr">
        <is>
          <t>n = 50 ; R² = 0.557 ; R² ajusté = 0.507 ; F : p = 6.08e-07</t>
        </is>
      </c>
    </row>
    <row r="4">
      <c r="A4" s="16" t="inlineStr">
        <is>
          <t>Prédicteur</t>
        </is>
      </c>
      <c r="B4" s="16" t="inlineStr">
        <is>
          <t>Coefficient β</t>
        </is>
      </c>
      <c r="C4" s="16" t="inlineStr">
        <is>
          <t>IC 95 % bas</t>
        </is>
      </c>
      <c r="D4" s="16" t="inlineStr">
        <is>
          <t>IC 95 % haut</t>
        </is>
      </c>
      <c r="E4" s="16" t="inlineStr">
        <is>
          <t>p-value</t>
        </is>
      </c>
      <c r="F4" s="16" t="inlineStr">
        <is>
          <t>Significatif ?</t>
        </is>
      </c>
    </row>
    <row r="5">
      <c r="A5" s="5" t="inlineStr">
        <is>
          <t>Constante</t>
        </is>
      </c>
      <c r="B5" s="5" t="n">
        <v>10.149</v>
      </c>
      <c r="C5" s="5" t="n">
        <v>8.766999999999999</v>
      </c>
      <c r="D5" s="5" t="n">
        <v>11.531</v>
      </c>
      <c r="E5" s="5" t="inlineStr">
        <is>
          <t>&lt; 0,001</t>
        </is>
      </c>
      <c r="F5" s="5" t="inlineStr">
        <is>
          <t>—</t>
        </is>
      </c>
    </row>
    <row r="6">
      <c r="A6" s="11" t="inlineStr">
        <is>
          <t>Expérience ≥ 5 ans</t>
        </is>
      </c>
      <c r="B6" s="11" t="n">
        <v>1.09</v>
      </c>
      <c r="C6" s="11" t="n">
        <v>0.033</v>
      </c>
      <c r="D6" s="11" t="n">
        <v>2.147</v>
      </c>
      <c r="E6" s="11" t="n">
        <v>0.0435</v>
      </c>
      <c r="F6" s="11" t="inlineStr">
        <is>
          <t>OUI</t>
        </is>
      </c>
    </row>
    <row r="7">
      <c r="A7" s="5" t="inlineStr">
        <is>
          <t>Nombre de PFNL</t>
        </is>
      </c>
      <c r="B7" s="5" t="n">
        <v>0.098</v>
      </c>
      <c r="C7" s="5" t="n">
        <v>-0.173</v>
      </c>
      <c r="D7" s="5" t="n">
        <v>0.368</v>
      </c>
      <c r="E7" s="5" t="n">
        <v>0.4698</v>
      </c>
      <c r="F7" s="5" t="inlineStr">
        <is>
          <t>non</t>
        </is>
      </c>
    </row>
    <row r="8">
      <c r="A8" s="5" t="inlineStr">
        <is>
          <t>GIC PLACKO</t>
        </is>
      </c>
      <c r="B8" s="5" t="n">
        <v>0.295</v>
      </c>
      <c r="C8" s="5" t="n">
        <v>-0.9360000000000001</v>
      </c>
      <c r="D8" s="5" t="n">
        <v>1.525</v>
      </c>
      <c r="E8" s="5" t="n">
        <v>0.6319</v>
      </c>
      <c r="F8" s="5" t="inlineStr">
        <is>
          <t>non</t>
        </is>
      </c>
    </row>
    <row r="9">
      <c r="A9" s="11" t="inlineStr">
        <is>
          <t>Ethnie Baka</t>
        </is>
      </c>
      <c r="B9" s="11" t="n">
        <v>-2.928</v>
      </c>
      <c r="C9" s="11" t="n">
        <v>-4.421</v>
      </c>
      <c r="D9" s="11" t="n">
        <v>-1.436</v>
      </c>
      <c r="E9" s="11" t="inlineStr">
        <is>
          <t>&lt; 0,001</t>
        </is>
      </c>
      <c r="F9" s="11" t="inlineStr">
        <is>
          <t>OUI</t>
        </is>
      </c>
    </row>
    <row r="10">
      <c r="A10" s="11" t="inlineStr">
        <is>
          <t>Collecte en forêt</t>
        </is>
      </c>
      <c r="B10" s="11" t="n">
        <v>1.931</v>
      </c>
      <c r="C10" s="11" t="n">
        <v>0.704</v>
      </c>
      <c r="D10" s="11" t="n">
        <v>3.159</v>
      </c>
      <c r="E10" s="11" t="n">
        <v>0.0028</v>
      </c>
      <c r="F10" s="11" t="inlineStr">
        <is>
          <t>OUI</t>
        </is>
      </c>
    </row>
    <row r="12">
      <c r="A12" s="17" t="inlineStr">
        <is>
          <t>Interprétation : facteurs robustes = expérience (≥5 ans), accès à la forêt (+), ethnie Baka (−). VIF tous &lt; 1,4 (pas de multicolinéarité). Modèle exploratoire (n=50).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2026-07-06T02:26:22Z</dcterms:created>
  <dcterms:modified xmlns:dcterms="http://purl.org/dc/terms/" xmlns:xsi="http://www.w3.org/2001/XMLSchema-instance" xsi:type="dcterms:W3CDTF">2026-07-06T20:34:33Z</dcterms:modified>
</cp:coreProperties>
</file>